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481DB6C-A54D-4D39-ACCD-C570912AA567}" xr6:coauthVersionLast="47" xr6:coauthVersionMax="47" xr10:uidLastSave="{00000000-0000-0000-0000-000000000000}"/>
  <bookViews>
    <workbookView xWindow="-108" yWindow="-108" windowWidth="23256" windowHeight="13176" activeTab="3" xr2:uid="{00000000-000D-0000-FFFF-FFFF00000000}"/>
  </bookViews>
  <sheets>
    <sheet name="Sheet1" sheetId="1" r:id="rId1"/>
    <sheet name="Analysis" sheetId="3" r:id="rId2"/>
    <sheet name="Dashboard 1" sheetId="2" r:id="rId3"/>
    <sheet name="Dashboard 2" sheetId="5" r:id="rId4"/>
  </sheets>
  <definedNames>
    <definedName name="_xlchart.v2.0" hidden="1">Analysis!$BW$18:$BW$20</definedName>
    <definedName name="_xlchart.v2.1" hidden="1">Analysis!$BX$17</definedName>
    <definedName name="_xlchart.v2.2" hidden="1">Analysis!$BX$18:$BX$20</definedName>
    <definedName name="Slicer_Month_Name">#N/A</definedName>
    <definedName name="Slicer_اتسلم؟">#N/A</definedName>
    <definedName name="Slicer_الحالة">#N/A</definedName>
    <definedName name="Slicer_الصنف">#N/A</definedName>
    <definedName name="Slicer_المحافظة">#N/A</definedName>
    <definedName name="Slicer_منصة_البيع">#N/A</definedName>
    <definedName name="Slicer_نوع_العميل">#N/A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pivotCache cacheId="17"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_dd91255c-2229-436b-a44d-4f805ad299bd" name="Table1_1" connection="Query - Table1_1"/>
          <x15:modelTable id="Date_75a98f28-c88f-4746-89b9-63e035bc5a46" name="Date" connection="Query - Date"/>
        </x15:modelTables>
        <x15:modelRelationships>
          <x15:modelRelationship fromTable="Table1_1" fromColumn="ميعاد الطلب"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Z13" i="3" l="1"/>
  <c r="EA13" i="3"/>
  <c r="DZ14" i="3"/>
  <c r="EA14" i="3"/>
  <c r="DZ15" i="3"/>
  <c r="EA15" i="3"/>
  <c r="DZ16" i="3"/>
  <c r="EA16" i="3"/>
  <c r="DZ17" i="3"/>
  <c r="EA17" i="3"/>
  <c r="DZ18" i="3"/>
  <c r="EA18" i="3"/>
  <c r="DZ19" i="3"/>
  <c r="EA19" i="3"/>
  <c r="DZ8" i="3"/>
  <c r="EA8" i="3"/>
  <c r="DZ9" i="3"/>
  <c r="EA9" i="3"/>
  <c r="DZ10" i="3"/>
  <c r="EA10" i="3"/>
  <c r="DZ11" i="3"/>
  <c r="EA11" i="3"/>
  <c r="DZ12" i="3"/>
  <c r="EA12" i="3"/>
  <c r="EA7" i="3"/>
  <c r="DZ7" i="3"/>
  <c r="BW18" i="3"/>
  <c r="BX18" i="3"/>
  <c r="BW19" i="3"/>
  <c r="BX19" i="3"/>
  <c r="BW20" i="3"/>
  <c r="BX20" i="3"/>
  <c r="BX17" i="3"/>
  <c r="BW17" i="3"/>
  <c r="DF13" i="3"/>
  <c r="DE14" i="3"/>
  <c r="DF14" i="3"/>
  <c r="DE15" i="3"/>
  <c r="DF15" i="3"/>
  <c r="DE13" i="3"/>
  <c r="DO22" i="3"/>
  <c r="DO23" i="3"/>
  <c r="DO21" i="3"/>
  <c r="CW12" i="3"/>
  <c r="CW11" i="3"/>
  <c r="CU16" i="3"/>
  <c r="CV16" i="3"/>
  <c r="CU17" i="3"/>
  <c r="CV17" i="3"/>
  <c r="CV15" i="3"/>
  <c r="CU15" i="3"/>
  <c r="DN11" i="3"/>
  <c r="DO11" i="3"/>
  <c r="DP11" i="3"/>
  <c r="DN12" i="3"/>
  <c r="DO12" i="3"/>
  <c r="DP12" i="3"/>
  <c r="DM12" i="3"/>
  <c r="DM11" i="3"/>
  <c r="CL23" i="3" l="1"/>
  <c r="CM23" i="3"/>
  <c r="CL18" i="3"/>
  <c r="CM18" i="3"/>
  <c r="CL19" i="3"/>
  <c r="CM19" i="3"/>
  <c r="CL20" i="3"/>
  <c r="CM20" i="3"/>
  <c r="CL21" i="3"/>
  <c r="CM21" i="3"/>
  <c r="CL22" i="3"/>
  <c r="CM22" i="3"/>
  <c r="CM17" i="3"/>
  <c r="CL17" i="3"/>
  <c r="AL6" i="3" l="1"/>
  <c r="AL7" i="3"/>
  <c r="AM7" i="3"/>
  <c r="AL8" i="3"/>
  <c r="AM8" i="3"/>
  <c r="AL9" i="3"/>
  <c r="AM9" i="3"/>
  <c r="AL10" i="3"/>
  <c r="AM10" i="3"/>
  <c r="AL11" i="3"/>
  <c r="AM11" i="3"/>
  <c r="AL12" i="3"/>
  <c r="AM12" i="3"/>
  <c r="AL13" i="3"/>
  <c r="AM13" i="3"/>
  <c r="AL14" i="3"/>
  <c r="AM14" i="3"/>
  <c r="AL15" i="3"/>
  <c r="AM15" i="3"/>
  <c r="AM6" i="3"/>
  <c r="AS16" i="3"/>
  <c r="AT16" i="3"/>
  <c r="AU16" i="3"/>
  <c r="AS17" i="3"/>
  <c r="AT17" i="3"/>
  <c r="AU17" i="3"/>
  <c r="AT15" i="3"/>
  <c r="AU15" i="3"/>
  <c r="BL20" i="3"/>
  <c r="BM20" i="3"/>
  <c r="BL21" i="3"/>
  <c r="BM21" i="3"/>
  <c r="BM19" i="3"/>
  <c r="BL19" i="3"/>
  <c r="BH26" i="3"/>
  <c r="BI26" i="3"/>
  <c r="BH20" i="3"/>
  <c r="BI20" i="3"/>
  <c r="BH21" i="3"/>
  <c r="BI21" i="3"/>
  <c r="BH22" i="3"/>
  <c r="BI22" i="3"/>
  <c r="BH23" i="3"/>
  <c r="BI23" i="3"/>
  <c r="BH24" i="3"/>
  <c r="BI24" i="3"/>
  <c r="BH25" i="3"/>
  <c r="BI25" i="3"/>
  <c r="BI19" i="3"/>
  <c r="BH19" i="3"/>
  <c r="BA23" i="3"/>
  <c r="BB23" i="3"/>
  <c r="BA22" i="3"/>
  <c r="BB22" i="3"/>
  <c r="BA18" i="3"/>
  <c r="BB18" i="3"/>
  <c r="BA19" i="3"/>
  <c r="BB19" i="3"/>
  <c r="BA20" i="3"/>
  <c r="BB20" i="3"/>
  <c r="BA21" i="3"/>
  <c r="BB21" i="3"/>
  <c r="BB17" i="3"/>
  <c r="BA17" i="3"/>
  <c r="Y19" i="3"/>
  <c r="Z19" i="3"/>
  <c r="Y20" i="3"/>
  <c r="Z20" i="3"/>
  <c r="Y21" i="3"/>
  <c r="Z21" i="3"/>
  <c r="Y22" i="3"/>
  <c r="Z22" i="3"/>
  <c r="Y23" i="3"/>
  <c r="Z23" i="3"/>
  <c r="Y24" i="3"/>
  <c r="Z24" i="3"/>
  <c r="Y25" i="3"/>
  <c r="Z25" i="3"/>
  <c r="Z18" i="3"/>
  <c r="Y18" i="3"/>
  <c r="S14" i="3"/>
  <c r="S15" i="3"/>
  <c r="R14" i="3"/>
  <c r="R15" i="3"/>
  <c r="G14" i="3"/>
  <c r="H14" i="3"/>
  <c r="I14" i="3"/>
  <c r="J14" i="3"/>
  <c r="K14" i="3"/>
  <c r="L14" i="3"/>
  <c r="M14" i="3"/>
  <c r="N14" i="3"/>
  <c r="O14" i="3"/>
  <c r="P14" i="3"/>
  <c r="Q14" i="3"/>
  <c r="G15" i="3"/>
  <c r="H15" i="3"/>
  <c r="I15" i="3"/>
  <c r="J15" i="3"/>
  <c r="K15" i="3"/>
  <c r="L15" i="3"/>
  <c r="M15" i="3"/>
  <c r="N15" i="3"/>
  <c r="O15" i="3"/>
  <c r="P15" i="3"/>
  <c r="Q15" i="3"/>
  <c r="F15" i="3"/>
  <c r="F14" i="3"/>
  <c r="AA25" i="3" l="1"/>
  <c r="AA23" i="3"/>
  <c r="AA20" i="3"/>
  <c r="AA24" i="3"/>
  <c r="AA19" i="3"/>
  <c r="AA22" i="3"/>
  <c r="AA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6B7DEC-D08C-4539-975E-C597D8EA2844}" name="Query - Date" description="Connection to the 'Date' query in the workbook." type="100" refreshedVersion="8" minRefreshableVersion="5">
    <extLst>
      <ext xmlns:x15="http://schemas.microsoft.com/office/spreadsheetml/2010/11/main" uri="{DE250136-89BD-433C-8126-D09CA5730AF9}">
        <x15:connection id="56bccb88-4f4d-434b-9e90-1891b07b55f0">
          <x15:oledbPr connection="Provider=Microsoft.Mashup.OleDb.1;Data Source=$Workbook$;Location=Date;Extended Properties=&quot;&quot;">
            <x15:dbTables>
              <x15:dbTable name="Date"/>
            </x15:dbTables>
          </x15:oledbPr>
        </x15:connection>
      </ext>
    </extLst>
  </connection>
  <connection id="2" xr16:uid="{0DD83337-F7E2-4524-A36F-D60330A56819}" name="Query - Table1_1" description="Connection to the 'Table1_1' query in the workbook." type="100" refreshedVersion="8" minRefreshableVersion="5">
    <extLst>
      <ext xmlns:x15="http://schemas.microsoft.com/office/spreadsheetml/2010/11/main" uri="{DE250136-89BD-433C-8126-D09CA5730AF9}">
        <x15:connection id="d0d80af6-4ea3-4070-9f7e-acd84b4c2178"/>
      </ext>
    </extLst>
  </connection>
  <connection id="3" xr16:uid="{5CDCCE72-6ADA-4E5A-BB76-3138881368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<sst xmlns="http://schemas.openxmlformats.org/spreadsheetml/2006/main" count="2164" uniqueCount="339">
  <si>
    <t>خالد عبد القوى</t>
  </si>
  <si>
    <t>أفراد</t>
  </si>
  <si>
    <t>العجوزه - الجيزه</t>
  </si>
  <si>
    <t>الجيزة</t>
  </si>
  <si>
    <t>هومزمارت</t>
  </si>
  <si>
    <t>سرير</t>
  </si>
  <si>
    <t>منطبق</t>
  </si>
  <si>
    <t>غير معروف</t>
  </si>
  <si>
    <t>ابيض</t>
  </si>
  <si>
    <t xml:space="preserve">سرير منطبق الحديد ابيض والقماش ابيض </t>
  </si>
  <si>
    <t>مسبق الدفع</t>
  </si>
  <si>
    <t>Jul</t>
  </si>
  <si>
    <t>لا</t>
  </si>
  <si>
    <t xml:space="preserve">تم التسليم عن طريق شركه شحن </t>
  </si>
  <si>
    <t>تم التسليم</t>
  </si>
  <si>
    <t>Yes</t>
  </si>
  <si>
    <t>محمود</t>
  </si>
  <si>
    <t>سموحه - اسكندريه</t>
  </si>
  <si>
    <t>الإسكندرية</t>
  </si>
  <si>
    <t>اسود</t>
  </si>
  <si>
    <t xml:space="preserve">سرير منطبق اسود والقماش اسود </t>
  </si>
  <si>
    <t>كاش</t>
  </si>
  <si>
    <t>سعيد</t>
  </si>
  <si>
    <t xml:space="preserve">سيدى عبد الرحمن - الساحل الشمالى </t>
  </si>
  <si>
    <t>مطروح</t>
  </si>
  <si>
    <t>دورين</t>
  </si>
  <si>
    <t>كيفنج</t>
  </si>
  <si>
    <t>ازرق</t>
  </si>
  <si>
    <t xml:space="preserve">سرير كيفينج مقاس 90 لون ازرق </t>
  </si>
  <si>
    <t>نعم</t>
  </si>
  <si>
    <t xml:space="preserve">فشل التسليم </t>
  </si>
  <si>
    <t>فشل التسليم</t>
  </si>
  <si>
    <t>No</t>
  </si>
  <si>
    <t>ساندرا</t>
  </si>
  <si>
    <t xml:space="preserve">الغردقه </t>
  </si>
  <si>
    <t>البحر الأحمر</t>
  </si>
  <si>
    <t>ركنه</t>
  </si>
  <si>
    <t xml:space="preserve">ترابيزه قهوه متحركه </t>
  </si>
  <si>
    <t>Aug</t>
  </si>
  <si>
    <t>زينا</t>
  </si>
  <si>
    <t>نوفال</t>
  </si>
  <si>
    <t>رمادى</t>
  </si>
  <si>
    <t xml:space="preserve">سرير نوفال متر رمادى </t>
  </si>
  <si>
    <t>شيك هومز</t>
  </si>
  <si>
    <t>شركات</t>
  </si>
  <si>
    <t>كنبه</t>
  </si>
  <si>
    <t>4×1</t>
  </si>
  <si>
    <t xml:space="preserve">كنبه سرير رمادى </t>
  </si>
  <si>
    <t>احمد</t>
  </si>
  <si>
    <t>التجمع الخامس</t>
  </si>
  <si>
    <t>القاهرة</t>
  </si>
  <si>
    <t>فيس بوك</t>
  </si>
  <si>
    <t>يلماز</t>
  </si>
  <si>
    <t xml:space="preserve">٦ اكتوبر الجيزه </t>
  </si>
  <si>
    <t xml:space="preserve">سرير فردى ابيض </t>
  </si>
  <si>
    <t>تاكى</t>
  </si>
  <si>
    <t>العباسيه</t>
  </si>
  <si>
    <t xml:space="preserve">ركنه </t>
  </si>
  <si>
    <t>٢ كنبه سحاره بمخدع</t>
  </si>
  <si>
    <t xml:space="preserve">ملغى </t>
  </si>
  <si>
    <t>لاغي</t>
  </si>
  <si>
    <t xml:space="preserve">العباسيه </t>
  </si>
  <si>
    <t xml:space="preserve">٢ كنبه سحاره بدون مخدع </t>
  </si>
  <si>
    <t xml:space="preserve">تم التسليم محمود على </t>
  </si>
  <si>
    <t>على رشوان</t>
  </si>
  <si>
    <t>مصر الجديده</t>
  </si>
  <si>
    <t>سرير نوفال ابيض مقاس ٨٠</t>
  </si>
  <si>
    <t>Sep</t>
  </si>
  <si>
    <t>احمد فخرى</t>
  </si>
  <si>
    <t>فردى</t>
  </si>
  <si>
    <t>سرير فردى خشب موسكى الحديد ابيض مقاس ٨٠</t>
  </si>
  <si>
    <t>لينا</t>
  </si>
  <si>
    <t xml:space="preserve">المقطم </t>
  </si>
  <si>
    <t>ترابيزه</t>
  </si>
  <si>
    <t>2 ميكانزم</t>
  </si>
  <si>
    <t xml:space="preserve">ترابيزه قهوه علويه جديده </t>
  </si>
  <si>
    <t>فيصل نعيم</t>
  </si>
  <si>
    <t xml:space="preserve">التجمع الخامس </t>
  </si>
  <si>
    <t xml:space="preserve">اوسكار رتان </t>
  </si>
  <si>
    <t xml:space="preserve">٢ سرير كيفنج ١٢٠ اسود </t>
  </si>
  <si>
    <t>الله الكافي</t>
  </si>
  <si>
    <t xml:space="preserve">مدينه نصر </t>
  </si>
  <si>
    <t>كينج</t>
  </si>
  <si>
    <t xml:space="preserve">سرير كينج ابيض مقاس ٨٠ التصميم الجديد </t>
  </si>
  <si>
    <t>القاهره الجديده</t>
  </si>
  <si>
    <t>فورجينا</t>
  </si>
  <si>
    <t>٤سرير فردى خشب موسكى الحديد ابيض مقاس ٨٠</t>
  </si>
  <si>
    <t>كرسى</t>
  </si>
  <si>
    <t>فنيسيا</t>
  </si>
  <si>
    <t xml:space="preserve">٢ فوتيه فنيسيا </t>
  </si>
  <si>
    <t>صفاء</t>
  </si>
  <si>
    <t>المعادى</t>
  </si>
  <si>
    <t>حسن حازم</t>
  </si>
  <si>
    <t>اسبانى</t>
  </si>
  <si>
    <t>سرير اسبانى ابيض ١٢٠</t>
  </si>
  <si>
    <t xml:space="preserve">سرير كينج ابيض </t>
  </si>
  <si>
    <t xml:space="preserve">سرير كينج اسود </t>
  </si>
  <si>
    <t>اوسكار راتن</t>
  </si>
  <si>
    <t xml:space="preserve">مخزن اوسكار في القناطر </t>
  </si>
  <si>
    <t>القليوبية</t>
  </si>
  <si>
    <t>٢ سريرفورجينا خشب موسكى ابيض مقاس ١٢٠</t>
  </si>
  <si>
    <t>حساب شركه</t>
  </si>
  <si>
    <t>ارفيل</t>
  </si>
  <si>
    <t xml:space="preserve">٢ سرير ارفيل ١٢٠ اسود </t>
  </si>
  <si>
    <t xml:space="preserve">مسبق الدفع </t>
  </si>
  <si>
    <t>صفاء الحكيم</t>
  </si>
  <si>
    <t>العين السخنه</t>
  </si>
  <si>
    <t>سرير منطببق اسود وقماش اسود</t>
  </si>
  <si>
    <t>يوسف شناوى</t>
  </si>
  <si>
    <t xml:space="preserve">الابراهيميه . الإسكندرية </t>
  </si>
  <si>
    <t>رف سحاب</t>
  </si>
  <si>
    <t xml:space="preserve">ترابيزه قهوه علويه برف سحاب </t>
  </si>
  <si>
    <t>حاتم العيسوي</t>
  </si>
  <si>
    <t>سرير منطبق اسود حديد وقماش</t>
  </si>
  <si>
    <t>رنا</t>
  </si>
  <si>
    <t xml:space="preserve">القطاميه </t>
  </si>
  <si>
    <t>عبير نور الدين</t>
  </si>
  <si>
    <t xml:space="preserve">١٨ شارع البحيري بولاق الدكرور الجيزه </t>
  </si>
  <si>
    <t>ثلاثه ادوار</t>
  </si>
  <si>
    <t xml:space="preserve">سرير ٣ ادورا اسود مقاس ١٠٠ </t>
  </si>
  <si>
    <t>اسراء ابو العنين</t>
  </si>
  <si>
    <t>سرير اسبانى اسود مقاس ١٢٠</t>
  </si>
  <si>
    <t>وائل صادق</t>
  </si>
  <si>
    <t>كورين</t>
  </si>
  <si>
    <t>دهبي</t>
  </si>
  <si>
    <t xml:space="preserve">سرير كوين مقاس ١٤٠ دهبي ورمادى </t>
  </si>
  <si>
    <t>حسن مغرب</t>
  </si>
  <si>
    <t xml:space="preserve">سرير كيفنج ١٢٠ رمادى </t>
  </si>
  <si>
    <t>على السيد</t>
  </si>
  <si>
    <t xml:space="preserve">الشروق القاهره </t>
  </si>
  <si>
    <t xml:space="preserve">سرير نوفال  ٩٠ اسود </t>
  </si>
  <si>
    <t>هشام بسيونى</t>
  </si>
  <si>
    <t xml:space="preserve">حدايق الاهرام </t>
  </si>
  <si>
    <t xml:space="preserve">            ٢ سرير كيفنج ١٠٠ اسود </t>
  </si>
  <si>
    <t>الشروق</t>
  </si>
  <si>
    <t xml:space="preserve">سرير ٣ ادوار ابيض مقاس ٨٠ ابيض </t>
  </si>
  <si>
    <t>ساره وجيه</t>
  </si>
  <si>
    <t xml:space="preserve">سرير كيفنج دورين مقاس ٨٠ ابيض </t>
  </si>
  <si>
    <t>مها</t>
  </si>
  <si>
    <t xml:space="preserve">لافيستا العين السخنه </t>
  </si>
  <si>
    <t>سرير استيل ازرق مقاس ١٤٠</t>
  </si>
  <si>
    <t>بسام الشربينى</t>
  </si>
  <si>
    <t>بنفسجى</t>
  </si>
  <si>
    <t xml:space="preserve">سرير كينج ١٢٠ بنفسجى </t>
  </si>
  <si>
    <t>هبه عبد الفتاح</t>
  </si>
  <si>
    <t xml:space="preserve">القاهره الجديده </t>
  </si>
  <si>
    <t xml:space="preserve">كنبه سرير ٤ حركه </t>
  </si>
  <si>
    <t>اسراء ابراهيم</t>
  </si>
  <si>
    <t>طارق كمال</t>
  </si>
  <si>
    <t xml:space="preserve">سرير ٣ ادوار اسود مقاس ٩٠ </t>
  </si>
  <si>
    <t>ديفد بهجت</t>
  </si>
  <si>
    <t>فيصل الجيزه</t>
  </si>
  <si>
    <t>تربيزه قهوه ٢ رافع</t>
  </si>
  <si>
    <t>اياد</t>
  </si>
  <si>
    <t>ميار خورشد</t>
  </si>
  <si>
    <t xml:space="preserve">سرير منطبق اسود حديد ومعدن </t>
  </si>
  <si>
    <t>عبد الله سيد</t>
  </si>
  <si>
    <t xml:space="preserve">الشيخ زايد ٦ اكتوبر </t>
  </si>
  <si>
    <t xml:space="preserve">سرير اسبانى  ١٤٠ اسود وبيج </t>
  </si>
  <si>
    <t>كينج سونا</t>
  </si>
  <si>
    <t xml:space="preserve">تربيزه قهوه مرتفعه برف سحاب </t>
  </si>
  <si>
    <t>احمد خالد</t>
  </si>
  <si>
    <t>الرحاب</t>
  </si>
  <si>
    <t xml:space="preserve"> ٢. سرير فورجينا ابيض مقاس ١٢٠</t>
  </si>
  <si>
    <t>ساره</t>
  </si>
  <si>
    <t xml:space="preserve">   ٢. سرير اسبانى ابيض ١٢٠</t>
  </si>
  <si>
    <t>احمد ايمن</t>
  </si>
  <si>
    <t>العبور</t>
  </si>
  <si>
    <t>مصطفي غنيم</t>
  </si>
  <si>
    <t xml:space="preserve">اسيوط </t>
  </si>
  <si>
    <t xml:space="preserve">سرير كيفنج دورين مقاس ١٢٠ رمادى </t>
  </si>
  <si>
    <t>حسام عبدون</t>
  </si>
  <si>
    <t>الغردقه</t>
  </si>
  <si>
    <t>رامى</t>
  </si>
  <si>
    <t xml:space="preserve">سرير نوفال ١٠٠ رمادى </t>
  </si>
  <si>
    <t>رحاب</t>
  </si>
  <si>
    <t>فؤاد المنسي</t>
  </si>
  <si>
    <t xml:space="preserve">سرير نوفال مقاس ٨٠ ابيض </t>
  </si>
  <si>
    <t>مهند</t>
  </si>
  <si>
    <t>المعادي</t>
  </si>
  <si>
    <t>محمد ايمن</t>
  </si>
  <si>
    <t>مدينه بدر</t>
  </si>
  <si>
    <t>اسامه</t>
  </si>
  <si>
    <t xml:space="preserve">المخزن ابو الغيط </t>
  </si>
  <si>
    <t>اسود وبنى</t>
  </si>
  <si>
    <t>ولاء بدوى</t>
  </si>
  <si>
    <t>عبد الرحمن يسري</t>
  </si>
  <si>
    <t>اكتوبر الجيزه</t>
  </si>
  <si>
    <t>التجمع</t>
  </si>
  <si>
    <t xml:space="preserve">نبيتى </t>
  </si>
  <si>
    <t xml:space="preserve">اسود </t>
  </si>
  <si>
    <t>الحج محمد السويس</t>
  </si>
  <si>
    <t xml:space="preserve">السويس </t>
  </si>
  <si>
    <t>فانتاستك</t>
  </si>
  <si>
    <t>ملون</t>
  </si>
  <si>
    <t>Oct</t>
  </si>
  <si>
    <t xml:space="preserve">تم التسليم بمعرفه الحج سيد </t>
  </si>
  <si>
    <t>اسزد</t>
  </si>
  <si>
    <t>بيج</t>
  </si>
  <si>
    <t>رصاصي مشجر</t>
  </si>
  <si>
    <t>شيزلونج</t>
  </si>
  <si>
    <t>عمرو الأسود</t>
  </si>
  <si>
    <t>الزمالك</t>
  </si>
  <si>
    <t>مخزن شيك هومز</t>
  </si>
  <si>
    <t xml:space="preserve">بترولى </t>
  </si>
  <si>
    <t xml:space="preserve">أكتوبر </t>
  </si>
  <si>
    <t>كيره</t>
  </si>
  <si>
    <t xml:space="preserve">نوفال </t>
  </si>
  <si>
    <t>١٤٠/١٠٠</t>
  </si>
  <si>
    <t>بينك</t>
  </si>
  <si>
    <t>طارق</t>
  </si>
  <si>
    <t>ريم</t>
  </si>
  <si>
    <t>البطاش اسكندريه</t>
  </si>
  <si>
    <t>١٠٠/١٤٠</t>
  </si>
  <si>
    <t>هشام سامى</t>
  </si>
  <si>
    <t>41 كومبوند جولدن جستس الدور 4 شقه 4</t>
  </si>
  <si>
    <t xml:space="preserve">منزلى </t>
  </si>
  <si>
    <t>بلحه</t>
  </si>
  <si>
    <t>خشب بنى فاتح</t>
  </si>
  <si>
    <t>فانتستيك</t>
  </si>
  <si>
    <t>الوان</t>
  </si>
  <si>
    <t>المعرض مدينه نصر</t>
  </si>
  <si>
    <t>فاطمه محمد</t>
  </si>
  <si>
    <t>أكتوبر الجيزه</t>
  </si>
  <si>
    <t>الشيخ زايد اكتوبر</t>
  </si>
  <si>
    <t>بولا هومزمارت</t>
  </si>
  <si>
    <t>محمد شكرى</t>
  </si>
  <si>
    <t>مدينتى</t>
  </si>
  <si>
    <t>Nov</t>
  </si>
  <si>
    <t>ارينا</t>
  </si>
  <si>
    <t>بترولى</t>
  </si>
  <si>
    <t>منزلى</t>
  </si>
  <si>
    <t>حماده</t>
  </si>
  <si>
    <t>صفاء عبد الباقي</t>
  </si>
  <si>
    <t xml:space="preserve">كينج </t>
  </si>
  <si>
    <t>المخزن</t>
  </si>
  <si>
    <t xml:space="preserve">دورين </t>
  </si>
  <si>
    <t>رندا العامرى</t>
  </si>
  <si>
    <t>الجيزه</t>
  </si>
  <si>
    <t xml:space="preserve">كيمت </t>
  </si>
  <si>
    <t xml:space="preserve">كيفنج </t>
  </si>
  <si>
    <t>٦ اكتوبر الجيزه</t>
  </si>
  <si>
    <t xml:space="preserve">فردى </t>
  </si>
  <si>
    <t>امريكى</t>
  </si>
  <si>
    <t>محمد حمدى</t>
  </si>
  <si>
    <t xml:space="preserve">كوين </t>
  </si>
  <si>
    <t>بافلى هانى</t>
  </si>
  <si>
    <t xml:space="preserve">شبرا </t>
  </si>
  <si>
    <t xml:space="preserve">اسبانى </t>
  </si>
  <si>
    <t>t1</t>
  </si>
  <si>
    <t xml:space="preserve">تم التسليم م محمد </t>
  </si>
  <si>
    <t>رنا ميلاد</t>
  </si>
  <si>
    <t xml:space="preserve">جليم الإسكندرية </t>
  </si>
  <si>
    <t>مكتبه</t>
  </si>
  <si>
    <t>محمد ناجى</t>
  </si>
  <si>
    <t xml:space="preserve">دوران </t>
  </si>
  <si>
    <t>ميكانزم</t>
  </si>
  <si>
    <t>ابيض في بنى غامق</t>
  </si>
  <si>
    <t>احمد عبد الستار</t>
  </si>
  <si>
    <t>المندره اسكندريه</t>
  </si>
  <si>
    <t>العميل رفض الاستلام</t>
  </si>
  <si>
    <t>نور</t>
  </si>
  <si>
    <t>بنى غامق</t>
  </si>
  <si>
    <t xml:space="preserve">بنى غامق </t>
  </si>
  <si>
    <t>تامر</t>
  </si>
  <si>
    <t xml:space="preserve">بيج </t>
  </si>
  <si>
    <t>هناء اسامه</t>
  </si>
  <si>
    <t>القطاميه</t>
  </si>
  <si>
    <t>Dec</t>
  </si>
  <si>
    <t>محمد عادل</t>
  </si>
  <si>
    <t>مريم عنان</t>
  </si>
  <si>
    <t xml:space="preserve">اب تاون كايرو التجمع </t>
  </si>
  <si>
    <t>هبه عطيه</t>
  </si>
  <si>
    <t>دوران</t>
  </si>
  <si>
    <t>حمدى ذكرى</t>
  </si>
  <si>
    <t>روك ١٠</t>
  </si>
  <si>
    <t>أسم العميل</t>
  </si>
  <si>
    <t>نوع العميل</t>
  </si>
  <si>
    <t>العنوان</t>
  </si>
  <si>
    <t>المحافظة</t>
  </si>
  <si>
    <t xml:space="preserve">منصة البيع </t>
  </si>
  <si>
    <t>الصنف</t>
  </si>
  <si>
    <t>النوع</t>
  </si>
  <si>
    <t>الاسم</t>
  </si>
  <si>
    <t>المقاس</t>
  </si>
  <si>
    <t>اللون المعدن</t>
  </si>
  <si>
    <t>لون القماش</t>
  </si>
  <si>
    <t>الكميه</t>
  </si>
  <si>
    <t>المنتج</t>
  </si>
  <si>
    <t xml:space="preserve">سعر البيع </t>
  </si>
  <si>
    <t>طريقه الدفع2</t>
  </si>
  <si>
    <t>ميعاد التسليم</t>
  </si>
  <si>
    <t>تاريخ التسليم</t>
  </si>
  <si>
    <t>ميعاد الطلب</t>
  </si>
  <si>
    <t>الشهر</t>
  </si>
  <si>
    <t>مده التسليم(الفعلي)</t>
  </si>
  <si>
    <t>هل تم التسليم قبل او في الموعد ؟</t>
  </si>
  <si>
    <t>المسئول عن التسليم</t>
  </si>
  <si>
    <t>الحالة</t>
  </si>
  <si>
    <t>اتسلم؟</t>
  </si>
  <si>
    <t>مده التسليم (االهدف)</t>
  </si>
  <si>
    <t>Row Labels</t>
  </si>
  <si>
    <t>Total Sales</t>
  </si>
  <si>
    <t>Previous Month Sales</t>
  </si>
  <si>
    <t>MoM Growth %</t>
  </si>
  <si>
    <t>Total Customers</t>
  </si>
  <si>
    <t>Previous Month Customers</t>
  </si>
  <si>
    <t>Total Quantity</t>
  </si>
  <si>
    <t>Previous Month Quantity</t>
  </si>
  <si>
    <t>Quantity Growth %</t>
  </si>
  <si>
    <t>Average Selling Price</t>
  </si>
  <si>
    <t>Previous Month ASP</t>
  </si>
  <si>
    <t>ASP Growth %</t>
  </si>
  <si>
    <t>Customers Growth %</t>
  </si>
  <si>
    <t>(blank)</t>
  </si>
  <si>
    <t>Count Country</t>
  </si>
  <si>
    <t>اوسكار رتان</t>
  </si>
  <si>
    <t>كيمت</t>
  </si>
  <si>
    <t>Sales platforms</t>
  </si>
  <si>
    <t>اسيوط</t>
  </si>
  <si>
    <t>السويس</t>
  </si>
  <si>
    <t>Count of نوع العميل</t>
  </si>
  <si>
    <t>نبيتى</t>
  </si>
  <si>
    <t>pricnage</t>
  </si>
  <si>
    <t>Fri</t>
  </si>
  <si>
    <t>Mon</t>
  </si>
  <si>
    <t>Sat</t>
  </si>
  <si>
    <t>Sun</t>
  </si>
  <si>
    <t>Thu</t>
  </si>
  <si>
    <t>Tue</t>
  </si>
  <si>
    <t>Wed</t>
  </si>
  <si>
    <t>Weekday</t>
  </si>
  <si>
    <t>Weekend</t>
  </si>
  <si>
    <t>Count of هل تم التسليم قبل او في الموعد ؟</t>
  </si>
  <si>
    <t>Failed Deliveries Count</t>
  </si>
  <si>
    <t>Returned Revenue</t>
  </si>
  <si>
    <t>Paid Unpaid Delivery Revenue</t>
  </si>
  <si>
    <t>Count of الحالة</t>
  </si>
  <si>
    <t>Precange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</si>
</sst>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43" formatCode="_-* #,##0.00_-;\-* #,##0.00_-;_-* &quot;-&quot;??_-;_-@_-"/>
    <numFmt numFmtId="164" formatCode="_(* #,##0_);_(* \(#,##0\);_(* &quot;-&quot;??_);_(@_)"/>
    <numFmt numFmtId="165" formatCode="_-&quot;$&quot;* #,##0_-;\-&quot;$&quot;* #,##0_-;_-&quot;$&quot;* &quot;-&quot;??_-;_-@_-"/>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164" fontId="0" fillId="0" borderId="0" xfId="1"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5" fontId="0" fillId="0" borderId="0" xfId="2" applyNumberFormat="1" applyFont="1"/>
    <xf numFmtId="9" fontId="0" fillId="0" borderId="0" xfId="3" applyFont="1"/>
    <xf numFmtId="166" fontId="0" fillId="0" borderId="0" xfId="3" applyNumberFormat="1" applyFont="1"/>
    <xf numFmtId="0" fontId="0" fillId="2" borderId="0" xfId="0" applyFill="1"/>
    <xf numFmtId="0" fontId="0" fillId="0" borderId="0" xfId="3" applyNumberFormat="1" applyFont="1" applyAlignment="1">
      <alignment horizontal="right"/>
    </xf>
    <xf numFmtId="0" fontId="2" fillId="0" borderId="0" xfId="0" applyFont="1"/>
    <xf numFmtId="165" fontId="0" fillId="0" borderId="0" xfId="0" applyNumberFormat="1" applyAlignment="1">
      <alignment horizontal="left"/>
    </xf>
    <xf numFmtId="165" fontId="0" fillId="0" borderId="0" xfId="0" applyNumberFormat="1"/>
    <xf numFmtId="0" fontId="0" fillId="3" borderId="0" xfId="0" applyFill="1"/>
  </cellXfs>
  <cellStyles count="4">
    <cellStyle name="Comma" xfId="1" builtinId="3"/>
    <cellStyle name="Currency" xfId="2" builtinId="4"/>
    <cellStyle name="Normal" xfId="0" builtinId="0"/>
    <cellStyle name="Percent" xfId="3" builtinId="5"/>
  </cellStyles>
  <dxfs count="42">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FF0000"/>
      </font>
      <fill>
        <patternFill patternType="none">
          <bgColor auto="1"/>
        </patternFill>
      </fill>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patternFill patternType="none">
          <fgColor auto="1"/>
          <bgColor auto="1"/>
        </patternFill>
      </fill>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color theme="1"/>
      </font>
      <fill>
        <patternFill patternType="solid">
          <fgColor auto="1"/>
          <bgColor theme="3"/>
        </patternFill>
      </fill>
      <border>
        <left style="thin">
          <color theme="8"/>
        </left>
        <right style="thin">
          <color theme="8"/>
        </right>
        <top style="thin">
          <color theme="8"/>
        </top>
        <bottom style="thin">
          <color theme="8"/>
        </bottom>
        <vertical/>
        <horizontal/>
      </border>
    </dxf>
  </dxfs>
  <tableStyles count="6" defaultTableStyle="TableStyleMedium2" defaultPivotStyle="PivotStyleLight16">
    <tableStyle name="SlicerStyleDark5 2" pivot="0" table="0" count="10" xr9:uid="{A95D6A3B-8567-45CB-9C54-38127B475F9F}">
      <tableStyleElement type="wholeTable" dxfId="41"/>
      <tableStyleElement type="headerRow" dxfId="40"/>
    </tableStyle>
    <tableStyle name="SlicerStyleLight1 2" pivot="0" table="0" count="10" xr9:uid="{4A0B060E-3F83-4FD8-948E-BB6B2FBD7AB9}">
      <tableStyleElement type="wholeTable" dxfId="39"/>
      <tableStyleElement type="headerRow" dxfId="38"/>
    </tableStyle>
    <tableStyle name="SlicerStyleLight1 3" pivot="0" table="0" count="10" xr9:uid="{01104F0C-887F-4264-816B-2F17485702C3}">
      <tableStyleElement type="wholeTable" dxfId="37"/>
      <tableStyleElement type="headerRow" dxfId="36"/>
    </tableStyle>
    <tableStyle name="SlicerStyleLight1 4" pivot="0" table="0" count="10" xr9:uid="{7811FEDA-530A-4F16-9A0B-0331D6877114}">
      <tableStyleElement type="wholeTable" dxfId="35"/>
      <tableStyleElement type="headerRow" dxfId="34"/>
    </tableStyle>
    <tableStyle name="SlicerStyleLight1 5" pivot="0" table="0" count="10" xr9:uid="{4FE69362-F0A6-43E9-9CB2-749FE21E0C3F}">
      <tableStyleElement type="wholeTable" dxfId="33"/>
      <tableStyleElement type="headerRow" dxfId="32"/>
    </tableStyle>
    <tableStyle name="SlicerStyleLight3 2" pivot="0" table="0" count="10" xr9:uid="{87024794-61FA-41EB-A3C4-87137BEF89A0}">
      <tableStyleElement type="wholeTable" dxfId="31"/>
      <tableStyleElement type="headerRow" dxfId="30"/>
    </tableStyle>
  </tableStyles>
  <colors>
    <mruColors>
      <color rgb="FF94303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F0000"/>
          </font>
          <fill>
            <patternFill patternType="solid">
              <fgColor theme="4" tint="0.79995117038483843"/>
              <bgColor rgb="FFFF000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9"/>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2">
        <x14:slicerStyle name="SlicerStyleDark5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7.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7.xml"/><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pivotCacheDefinition" Target="pivotCache/pivotCacheDefinition1.xml"/><Relationship Id="rId61" Type="http://schemas.openxmlformats.org/officeDocument/2006/relationships/customXml" Target="../customXml/item26.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5.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4.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6.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6.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[miuso Final.xlsx]Analysis!PivotTable3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2122798234034"/>
          <c:y val="0"/>
          <c:w val="0.81799267826992572"/>
          <c:h val="1"/>
        </c:manualLayout>
      </c:layout>
      <c:barChart>
        <c:barDir val="bar"/>
        <c:grouping val="clustered"/>
        <c:varyColors val="0"/>
        <c:ser>
          <c:idx val="0"/>
          <c:order val="0"/>
          <c:tx>
            <c:strRef>
              <c:f>Analysis!$Z$6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Analysis!$Y$7:$Y$13</c:f>
              <c:strCache>
                <c:ptCount val="7"/>
                <c:pt idx="0">
                  <c:v>كيمت</c:v>
                </c:pt>
                <c:pt idx="1">
                  <c:v>منزلى</c:v>
                </c:pt>
                <c:pt idx="2">
                  <c:v>فيس بوك</c:v>
                </c:pt>
                <c:pt idx="3">
                  <c:v>اوسكار رتان</c:v>
                </c:pt>
                <c:pt idx="4">
                  <c:v>تاكى</c:v>
                </c:pt>
                <c:pt idx="5">
                  <c:v>شيك هومز</c:v>
                </c:pt>
                <c:pt idx="6">
                  <c:v>هومزمارت</c:v>
                </c:pt>
              </c:strCache>
            </c:strRef>
          </c:cat>
          <c:val>
            <c:numRef>
              <c:f>Analysis!$Z$7:$Z$13</c:f>
              <c:numCache>
                <c:formatCode>_-"$"* #,##0_-;\-"$"* #,##0_-;_-"$"* "-"??_-;_-@_-</c:formatCode>
                <c:ptCount val="7"/>
                <c:pt idx="0">
                  <c:v>7396</c:v>
                </c:pt>
                <c:pt idx="1">
                  <c:v>9655</c:v>
                </c:pt>
                <c:pt idx="2">
                  <c:v>27450</c:v>
                </c:pt>
                <c:pt idx="3">
                  <c:v>68731.91</c:v>
                </c:pt>
                <c:pt idx="4">
                  <c:v>82900</c:v>
                </c:pt>
                <c:pt idx="5">
                  <c:v>194340</c:v>
                </c:pt>
                <c:pt idx="6">
                  <c:v>902176.90544</c:v>
                </c:pt>
              </c:numCache>
            </c:numRef>
          </c:val>
          <c:extLst>
            <c:ext xmlns:c16="http://schemas.microsoft.com/office/drawing/2014/chart" uri="{C3380CC4-5D6E-409C-BE32-E72D297353CC}">
              <c16:uniqueId val="{00000003-4984-4261-8439-788294425921}"/>
            </c:ext>
          </c:extLst>
        </c:ser>
        <c:dLbls>
          <c:dLblPos val="outEnd"/>
          <c:showLegendKey val="0"/>
          <c:showVal val="1"/>
          <c:showCatName val="0"/>
          <c:showSerName val="0"/>
          <c:showPercent val="0"/>
          <c:showBubbleSize val="0"/>
        </c:dLbls>
        <c:gapWidth val="49"/>
        <c:overlap val="1"/>
        <c:axId val="1194020800"/>
        <c:axId val="1194016960"/>
      </c:barChart>
      <c:catAx>
        <c:axId val="11940208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94016960"/>
        <c:crosses val="autoZero"/>
        <c:auto val="1"/>
        <c:lblAlgn val="ctr"/>
        <c:lblOffset val="100"/>
        <c:noMultiLvlLbl val="0"/>
      </c:catAx>
      <c:valAx>
        <c:axId val="1194016960"/>
        <c:scaling>
          <c:orientation val="minMax"/>
        </c:scaling>
        <c:delete val="1"/>
        <c:axPos val="b"/>
        <c:numFmt formatCode="_-&quot;$&quot;* #,##0_-;\-&quot;$&quot;* #,##0_-;_-&quot;$&quot;* &quot;-&quot;??_-;_-@_-" sourceLinked="1"/>
        <c:majorTickMark val="none"/>
        <c:minorTickMark val="none"/>
        <c:tickLblPos val="nextTo"/>
        <c:crossAx val="119402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80717957130358708"/>
        </c:manualLayout>
      </c:layout>
      <c:lineChart>
        <c:grouping val="standard"/>
        <c:varyColors val="0"/>
        <c:ser>
          <c:idx val="0"/>
          <c:order val="0"/>
          <c:tx>
            <c:strRef>
              <c:f>Analysis!$BB$17</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Analysis!$BA$18:$BA$23</c:f>
              <c:strCache>
                <c:ptCount val="6"/>
                <c:pt idx="0">
                  <c:v>Jul</c:v>
                </c:pt>
                <c:pt idx="1">
                  <c:v>Aug</c:v>
                </c:pt>
                <c:pt idx="2">
                  <c:v>Sep</c:v>
                </c:pt>
                <c:pt idx="3">
                  <c:v>Oct</c:v>
                </c:pt>
                <c:pt idx="4">
                  <c:v>Nov</c:v>
                </c:pt>
                <c:pt idx="5">
                  <c:v>Dec</c:v>
                </c:pt>
              </c:strCache>
            </c:strRef>
          </c:cat>
          <c:val>
            <c:numRef>
              <c:f>Analysis!$BB$18:$BB$23</c:f>
              <c:numCache>
                <c:formatCode>_-"$"* #,##0_-;\-"$"* #,##0_-;_-"$"* "-"??_-;_-@_-</c:formatCode>
                <c:ptCount val="6"/>
                <c:pt idx="0">
                  <c:v>31775</c:v>
                </c:pt>
                <c:pt idx="1">
                  <c:v>105253</c:v>
                </c:pt>
                <c:pt idx="2">
                  <c:v>670451</c:v>
                </c:pt>
                <c:pt idx="3">
                  <c:v>229191.81544000001</c:v>
                </c:pt>
                <c:pt idx="4">
                  <c:v>184971</c:v>
                </c:pt>
                <c:pt idx="5">
                  <c:v>71008</c:v>
                </c:pt>
              </c:numCache>
            </c:numRef>
          </c:val>
          <c:smooth val="1"/>
          <c:extLst>
            <c:ext xmlns:c16="http://schemas.microsoft.com/office/drawing/2014/chart" uri="{C3380CC4-5D6E-409C-BE32-E72D297353CC}">
              <c16:uniqueId val="{00000000-2F7F-4CC1-A481-DC07D8D0BC75}"/>
            </c:ext>
          </c:extLst>
        </c:ser>
        <c:dLbls>
          <c:dLblPos val="t"/>
          <c:showLegendKey val="0"/>
          <c:showVal val="1"/>
          <c:showCatName val="0"/>
          <c:showSerName val="0"/>
          <c:showPercent val="0"/>
          <c:showBubbleSize val="0"/>
        </c:dLbls>
        <c:marker val="1"/>
        <c:smooth val="0"/>
        <c:axId val="1306452288"/>
        <c:axId val="1306454688"/>
      </c:lineChart>
      <c:catAx>
        <c:axId val="13064522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6454688"/>
        <c:crosses val="autoZero"/>
        <c:auto val="1"/>
        <c:lblAlgn val="ctr"/>
        <c:lblOffset val="100"/>
        <c:noMultiLvlLbl val="0"/>
      </c:catAx>
      <c:valAx>
        <c:axId val="1306454688"/>
        <c:scaling>
          <c:orientation val="minMax"/>
        </c:scaling>
        <c:delete val="1"/>
        <c:axPos val="l"/>
        <c:numFmt formatCode="_-&quot;$&quot;* #,##0_-;\-&quot;$&quot;* #,##0_-;_-&quot;$&quot;* &quot;-&quot;??_-;_-@_-" sourceLinked="1"/>
        <c:majorTickMark val="none"/>
        <c:minorTickMark val="none"/>
        <c:tickLblPos val="nextTo"/>
        <c:crossAx val="130645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8.0906148867313909E-3"/>
          <c:w val="1"/>
          <c:h val="0.83302945748286317"/>
        </c:manualLayout>
      </c:layout>
      <c:lineChart>
        <c:grouping val="standard"/>
        <c:varyColors val="0"/>
        <c:ser>
          <c:idx val="0"/>
          <c:order val="0"/>
          <c:tx>
            <c:strRef>
              <c:f>Analysis!$BI$19</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Analysis!$BH$20:$BH$26</c:f>
              <c:strCache>
                <c:ptCount val="7"/>
                <c:pt idx="0">
                  <c:v>Sun</c:v>
                </c:pt>
                <c:pt idx="1">
                  <c:v>Mon</c:v>
                </c:pt>
                <c:pt idx="2">
                  <c:v>Tue</c:v>
                </c:pt>
                <c:pt idx="3">
                  <c:v>Wed</c:v>
                </c:pt>
                <c:pt idx="4">
                  <c:v>Thu</c:v>
                </c:pt>
                <c:pt idx="5">
                  <c:v>Fri</c:v>
                </c:pt>
                <c:pt idx="6">
                  <c:v>Sat</c:v>
                </c:pt>
              </c:strCache>
            </c:strRef>
          </c:cat>
          <c:val>
            <c:numRef>
              <c:f>Analysis!$BI$20:$BI$26</c:f>
              <c:numCache>
                <c:formatCode>_-"$"* #,##0_-;\-"$"* #,##0_-;_-"$"* "-"??_-;_-@_-</c:formatCode>
                <c:ptCount val="7"/>
                <c:pt idx="0">
                  <c:v>178607</c:v>
                </c:pt>
                <c:pt idx="1">
                  <c:v>137872</c:v>
                </c:pt>
                <c:pt idx="2">
                  <c:v>125928.81544000001</c:v>
                </c:pt>
                <c:pt idx="3">
                  <c:v>95783</c:v>
                </c:pt>
                <c:pt idx="4">
                  <c:v>217872</c:v>
                </c:pt>
                <c:pt idx="5">
                  <c:v>212738</c:v>
                </c:pt>
                <c:pt idx="6">
                  <c:v>323849</c:v>
                </c:pt>
              </c:numCache>
            </c:numRef>
          </c:val>
          <c:smooth val="1"/>
          <c:extLst>
            <c:ext xmlns:c16="http://schemas.microsoft.com/office/drawing/2014/chart" uri="{C3380CC4-5D6E-409C-BE32-E72D297353CC}">
              <c16:uniqueId val="{00000000-63FD-448B-B209-0FD97FA97E3C}"/>
            </c:ext>
          </c:extLst>
        </c:ser>
        <c:dLbls>
          <c:dLblPos val="t"/>
          <c:showLegendKey val="0"/>
          <c:showVal val="1"/>
          <c:showCatName val="0"/>
          <c:showSerName val="0"/>
          <c:showPercent val="0"/>
          <c:showBubbleSize val="0"/>
        </c:dLbls>
        <c:marker val="1"/>
        <c:smooth val="0"/>
        <c:axId val="1204203728"/>
        <c:axId val="1204205168"/>
      </c:lineChart>
      <c:catAx>
        <c:axId val="12042037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4205168"/>
        <c:crosses val="autoZero"/>
        <c:auto val="1"/>
        <c:lblAlgn val="ctr"/>
        <c:lblOffset val="100"/>
        <c:noMultiLvlLbl val="0"/>
      </c:catAx>
      <c:valAx>
        <c:axId val="1204205168"/>
        <c:scaling>
          <c:orientation val="minMax"/>
        </c:scaling>
        <c:delete val="1"/>
        <c:axPos val="l"/>
        <c:numFmt formatCode="_-&quot;$&quot;* #,##0_-;\-&quot;$&quot;* #,##0_-;_-&quot;$&quot;* &quot;-&quot;??_-;_-@_-" sourceLinked="1"/>
        <c:majorTickMark val="none"/>
        <c:minorTickMark val="none"/>
        <c:tickLblPos val="nextTo"/>
        <c:crossAx val="120420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578612213863234"/>
          <c:y val="3.2258064516129031E-2"/>
          <c:w val="0.41256367589860854"/>
          <c:h val="0.71145973369182502"/>
        </c:manualLayout>
      </c:layout>
      <c:pieChart>
        <c:varyColors val="1"/>
        <c:ser>
          <c:idx val="0"/>
          <c:order val="0"/>
          <c:tx>
            <c:strRef>
              <c:f>Analysis!$BM$19</c:f>
              <c:strCache>
                <c:ptCount val="1"/>
                <c:pt idx="0">
                  <c:v>Total Sales</c:v>
                </c:pt>
              </c:strCache>
            </c:strRef>
          </c:tx>
          <c:spPr>
            <a:ln>
              <a:noFill/>
            </a:ln>
          </c:spPr>
          <c:dPt>
            <c:idx val="0"/>
            <c:bubble3D val="0"/>
            <c:explosion val="10"/>
            <c:spPr>
              <a:solidFill>
                <a:schemeClr val="accent1"/>
              </a:solidFill>
              <a:ln w="19050">
                <a:noFill/>
              </a:ln>
              <a:effectLst/>
            </c:spPr>
            <c:extLst>
              <c:ext xmlns:c16="http://schemas.microsoft.com/office/drawing/2014/chart" uri="{C3380CC4-5D6E-409C-BE32-E72D297353CC}">
                <c16:uniqueId val="{00000001-5D2F-444E-820D-96B78359B11E}"/>
              </c:ext>
            </c:extLst>
          </c:dPt>
          <c:dPt>
            <c:idx val="1"/>
            <c:bubble3D val="0"/>
            <c:spPr>
              <a:solidFill>
                <a:schemeClr val="accent2"/>
              </a:solidFill>
              <a:ln w="19050">
                <a:noFill/>
              </a:ln>
              <a:effectLst/>
            </c:spPr>
            <c:extLst>
              <c:ext xmlns:c16="http://schemas.microsoft.com/office/drawing/2014/chart" uri="{C3380CC4-5D6E-409C-BE32-E72D297353CC}">
                <c16:uniqueId val="{00000003-5D2F-444E-820D-96B78359B1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Analysis!$BL$20:$BL$21</c:f>
              <c:strCache>
                <c:ptCount val="2"/>
                <c:pt idx="0">
                  <c:v>Weekday</c:v>
                </c:pt>
                <c:pt idx="1">
                  <c:v>Weekend</c:v>
                </c:pt>
              </c:strCache>
            </c:strRef>
          </c:cat>
          <c:val>
            <c:numRef>
              <c:f>Analysis!$BM$20:$BM$21</c:f>
              <c:numCache>
                <c:formatCode>_-"$"* #,##0_-;\-"$"* #,##0_-;_-"$"* "-"??_-;_-@_-</c:formatCode>
                <c:ptCount val="2"/>
                <c:pt idx="0">
                  <c:v>756062.81544000003</c:v>
                </c:pt>
                <c:pt idx="1">
                  <c:v>536587</c:v>
                </c:pt>
              </c:numCache>
            </c:numRef>
          </c:val>
          <c:extLst>
            <c:ext xmlns:c16="http://schemas.microsoft.com/office/drawing/2014/chart" uri="{C3380CC4-5D6E-409C-BE32-E72D297353CC}">
              <c16:uniqueId val="{00000004-5D2F-444E-820D-96B78359B1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28109273038117"/>
          <c:y val="0"/>
          <c:w val="0.88371890726961877"/>
          <c:h val="1"/>
        </c:manualLayout>
      </c:layout>
      <c:barChart>
        <c:barDir val="bar"/>
        <c:grouping val="clustered"/>
        <c:varyColors val="0"/>
        <c:ser>
          <c:idx val="0"/>
          <c:order val="0"/>
          <c:tx>
            <c:strRef>
              <c:f>Analysis!$AT$15</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Analysis!$AS$16:$AS$17</c:f>
              <c:strCache>
                <c:ptCount val="2"/>
                <c:pt idx="0">
                  <c:v>أفراد</c:v>
                </c:pt>
                <c:pt idx="1">
                  <c:v>شركات</c:v>
                </c:pt>
              </c:strCache>
            </c:strRef>
          </c:cat>
          <c:val>
            <c:numRef>
              <c:f>Analysis!$AT$16:$AT$17</c:f>
              <c:numCache>
                <c:formatCode>_-"$"* #,##0_-;\-"$"* #,##0_-;_-"$"* "-"??_-;_-@_-</c:formatCode>
                <c:ptCount val="2"/>
                <c:pt idx="0">
                  <c:v>969482.90544</c:v>
                </c:pt>
                <c:pt idx="1">
                  <c:v>323166.90999999997</c:v>
                </c:pt>
              </c:numCache>
            </c:numRef>
          </c:val>
          <c:extLst>
            <c:ext xmlns:c16="http://schemas.microsoft.com/office/drawing/2014/chart" uri="{C3380CC4-5D6E-409C-BE32-E72D297353CC}">
              <c16:uniqueId val="{00000000-2F82-4374-9954-651FDCA6B6DF}"/>
            </c:ext>
          </c:extLst>
        </c:ser>
        <c:dLbls>
          <c:showLegendKey val="0"/>
          <c:showVal val="1"/>
          <c:showCatName val="0"/>
          <c:showSerName val="0"/>
          <c:showPercent val="0"/>
          <c:showBubbleSize val="0"/>
        </c:dLbls>
        <c:gapWidth val="182"/>
        <c:axId val="1205056416"/>
        <c:axId val="1205058816"/>
        <c:extLst>
          <c:ext xmlns:c15="http://schemas.microsoft.com/office/drawing/2012/chart" uri="{02D57815-91ED-43cb-92C2-25804820EDAC}">
            <c15:filteredBarSeries>
              <c15:ser>
                <c:idx val="1"/>
                <c:order val="1"/>
                <c:tx>
                  <c:strRef>
                    <c:extLst>
                      <c:ext uri="{02D57815-91ED-43cb-92C2-25804820EDAC}">
                        <c15:formulaRef>
                          <c15:sqref>Analysis!$AS$16:$AS$17</c15:sqref>
                        </c15:formulaRef>
                      </c:ext>
                    </c:extLst>
                    <c:strCache>
                      <c:ptCount val="2"/>
                      <c:pt idx="0">
                        <c:v>أفراد</c:v>
                      </c:pt>
                      <c:pt idx="1">
                        <c:v>شركات</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Analysis!$AU$16:$AU$17</c15:sqref>
                        </c15:formulaRef>
                      </c:ext>
                    </c:extLst>
                    <c:numCache>
                      <c:formatCode>General</c:formatCode>
                      <c:ptCount val="2"/>
                      <c:pt idx="0">
                        <c:v>91</c:v>
                      </c:pt>
                      <c:pt idx="1">
                        <c:v>35</c:v>
                      </c:pt>
                    </c:numCache>
                  </c:numRef>
                </c:val>
                <c:extLst>
                  <c:ext xmlns:c16="http://schemas.microsoft.com/office/drawing/2014/chart" uri="{C3380CC4-5D6E-409C-BE32-E72D297353CC}">
                    <c16:uniqueId val="{00000001-2F82-4374-9954-651FDCA6B6D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Analysis!$AU$15</c15:sqref>
                        </c15:formulaRef>
                      </c:ext>
                    </c:extLst>
                    <c:strCache>
                      <c:ptCount val="1"/>
                      <c:pt idx="0">
                        <c:v>Count of نوع العميل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Analysis!$AU$16:$AU$17</c15:sqref>
                        </c15:formulaRef>
                      </c:ext>
                    </c:extLst>
                    <c:numCache>
                      <c:formatCode>General</c:formatCode>
                      <c:ptCount val="2"/>
                      <c:pt idx="0">
                        <c:v>91</c:v>
                      </c:pt>
                      <c:pt idx="1">
                        <c:v>35</c:v>
                      </c:pt>
                    </c:numCache>
                  </c:numRef>
                </c:val>
                <c:extLst xmlns:c15="http://schemas.microsoft.com/office/drawing/2012/chart">
                  <c:ext xmlns:c16="http://schemas.microsoft.com/office/drawing/2014/chart" uri="{C3380CC4-5D6E-409C-BE32-E72D297353CC}">
                    <c16:uniqueId val="{00000002-2F82-4374-9954-651FDCA6B6DF}"/>
                  </c:ext>
                </c:extLst>
              </c15:ser>
            </c15:filteredBarSeries>
          </c:ext>
        </c:extLst>
      </c:barChart>
      <c:catAx>
        <c:axId val="12050564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5058816"/>
        <c:crosses val="autoZero"/>
        <c:auto val="1"/>
        <c:lblAlgn val="ctr"/>
        <c:lblOffset val="100"/>
        <c:noMultiLvlLbl val="0"/>
      </c:catAx>
      <c:valAx>
        <c:axId val="1205058816"/>
        <c:scaling>
          <c:orientation val="minMax"/>
        </c:scaling>
        <c:delete val="1"/>
        <c:axPos val="b"/>
        <c:numFmt formatCode="_-&quot;$&quot;* #,##0_-;\-&quot;$&quot;* #,##0_-;_-&quot;$&quot;* &quot;-&quot;??_-;_-@_-" sourceLinked="1"/>
        <c:majorTickMark val="none"/>
        <c:minorTickMark val="none"/>
        <c:tickLblPos val="nextTo"/>
        <c:crossAx val="1205056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383088804546913E-3"/>
          <c:y val="0.10466988727858294"/>
          <c:w val="0.99316169111954533"/>
          <c:h val="0.5718310573497154"/>
        </c:manualLayout>
      </c:layout>
      <c:barChart>
        <c:barDir val="col"/>
        <c:grouping val="clustered"/>
        <c:varyColors val="0"/>
        <c:ser>
          <c:idx val="0"/>
          <c:order val="0"/>
          <c:tx>
            <c:strRef>
              <c:f>Analysis!$AM$6</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Analysis!$AL$7:$AL$15</c:f>
              <c:strCache>
                <c:ptCount val="9"/>
                <c:pt idx="0">
                  <c:v>القاهرة</c:v>
                </c:pt>
                <c:pt idx="1">
                  <c:v>الجيزة</c:v>
                </c:pt>
                <c:pt idx="2">
                  <c:v>البحر الأحمر</c:v>
                </c:pt>
                <c:pt idx="3">
                  <c:v>القليوبية</c:v>
                </c:pt>
                <c:pt idx="4">
                  <c:v>الإسكندرية</c:v>
                </c:pt>
                <c:pt idx="5">
                  <c:v>السويس</c:v>
                </c:pt>
                <c:pt idx="6">
                  <c:v>مطروح</c:v>
                </c:pt>
                <c:pt idx="7">
                  <c:v>الجيزه</c:v>
                </c:pt>
                <c:pt idx="8">
                  <c:v>اسيوط</c:v>
                </c:pt>
              </c:strCache>
            </c:strRef>
          </c:cat>
          <c:val>
            <c:numRef>
              <c:f>Analysis!$AM$7:$AM$15</c:f>
              <c:numCache>
                <c:formatCode>_-"$"* #,##0_-;\-"$"* #,##0_-;_-"$"* "-"??_-;_-@_-</c:formatCode>
                <c:ptCount val="9"/>
                <c:pt idx="0">
                  <c:v>660159.91</c:v>
                </c:pt>
                <c:pt idx="1">
                  <c:v>336149</c:v>
                </c:pt>
                <c:pt idx="2">
                  <c:v>81016</c:v>
                </c:pt>
                <c:pt idx="3">
                  <c:v>69532</c:v>
                </c:pt>
                <c:pt idx="4">
                  <c:v>54762</c:v>
                </c:pt>
                <c:pt idx="5">
                  <c:v>32908.905440000002</c:v>
                </c:pt>
                <c:pt idx="6">
                  <c:v>24288</c:v>
                </c:pt>
                <c:pt idx="7">
                  <c:v>20835</c:v>
                </c:pt>
                <c:pt idx="8">
                  <c:v>12999</c:v>
                </c:pt>
              </c:numCache>
            </c:numRef>
          </c:val>
          <c:extLst>
            <c:ext xmlns:c16="http://schemas.microsoft.com/office/drawing/2014/chart" uri="{C3380CC4-5D6E-409C-BE32-E72D297353CC}">
              <c16:uniqueId val="{00000000-EA20-4BEF-B2AC-F214AF1F4884}"/>
            </c:ext>
          </c:extLst>
        </c:ser>
        <c:dLbls>
          <c:dLblPos val="outEnd"/>
          <c:showLegendKey val="0"/>
          <c:showVal val="1"/>
          <c:showCatName val="0"/>
          <c:showSerName val="0"/>
          <c:showPercent val="0"/>
          <c:showBubbleSize val="0"/>
        </c:dLbls>
        <c:gapWidth val="72"/>
        <c:overlap val="-27"/>
        <c:axId val="1199748640"/>
        <c:axId val="1199747200"/>
      </c:barChart>
      <c:catAx>
        <c:axId val="1199748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9747200"/>
        <c:crosses val="autoZero"/>
        <c:auto val="1"/>
        <c:lblAlgn val="ctr"/>
        <c:lblOffset val="100"/>
        <c:noMultiLvlLbl val="0"/>
      </c:catAx>
      <c:valAx>
        <c:axId val="1199747200"/>
        <c:scaling>
          <c:orientation val="minMax"/>
        </c:scaling>
        <c:delete val="1"/>
        <c:axPos val="l"/>
        <c:numFmt formatCode="_-&quot;$&quot;* #,##0_-;\-&quot;$&quot;* #,##0_-;_-&quot;$&quot;* &quot;-&quot;??_-;_-@_-" sourceLinked="1"/>
        <c:majorTickMark val="none"/>
        <c:minorTickMark val="none"/>
        <c:tickLblPos val="nextTo"/>
        <c:crossAx val="11997486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728395061728392E-3"/>
          <c:y val="4.084967320261438E-2"/>
          <c:w val="0.99382716049382713"/>
          <c:h val="0.7748507539498739"/>
        </c:manualLayout>
      </c:layout>
      <c:barChart>
        <c:barDir val="col"/>
        <c:grouping val="clustered"/>
        <c:varyColors val="0"/>
        <c:ser>
          <c:idx val="0"/>
          <c:order val="0"/>
          <c:tx>
            <c:strRef>
              <c:f>Analysis!$CM$17</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Analysis!$CL$18:$CL$23</c:f>
              <c:strCache>
                <c:ptCount val="6"/>
                <c:pt idx="0">
                  <c:v>سرير</c:v>
                </c:pt>
                <c:pt idx="1">
                  <c:v>كنبه</c:v>
                </c:pt>
                <c:pt idx="2">
                  <c:v>ترابيزه</c:v>
                </c:pt>
                <c:pt idx="3">
                  <c:v>ركنه</c:v>
                </c:pt>
                <c:pt idx="4">
                  <c:v>شيزلونج</c:v>
                </c:pt>
                <c:pt idx="5">
                  <c:v>كرسى</c:v>
                </c:pt>
              </c:strCache>
            </c:strRef>
          </c:cat>
          <c:val>
            <c:numRef>
              <c:f>Analysis!$CM$18:$CM$23</c:f>
              <c:numCache>
                <c:formatCode>_-"$"* #,##0_-;\-"$"* #,##0_-;_-"$"* "-"??_-;_-@_-</c:formatCode>
                <c:ptCount val="6"/>
                <c:pt idx="0">
                  <c:v>843545.81544000003</c:v>
                </c:pt>
                <c:pt idx="1">
                  <c:v>257234</c:v>
                </c:pt>
                <c:pt idx="2">
                  <c:v>142164</c:v>
                </c:pt>
                <c:pt idx="3">
                  <c:v>30642</c:v>
                </c:pt>
                <c:pt idx="4">
                  <c:v>9764</c:v>
                </c:pt>
                <c:pt idx="5">
                  <c:v>9300</c:v>
                </c:pt>
              </c:numCache>
            </c:numRef>
          </c:val>
          <c:extLst>
            <c:ext xmlns:c16="http://schemas.microsoft.com/office/drawing/2014/chart" uri="{C3380CC4-5D6E-409C-BE32-E72D297353CC}">
              <c16:uniqueId val="{00000000-8BD8-444A-9B10-1D14520E2E48}"/>
            </c:ext>
          </c:extLst>
        </c:ser>
        <c:dLbls>
          <c:dLblPos val="outEnd"/>
          <c:showLegendKey val="0"/>
          <c:showVal val="1"/>
          <c:showCatName val="0"/>
          <c:showSerName val="0"/>
          <c:showPercent val="0"/>
          <c:showBubbleSize val="0"/>
        </c:dLbls>
        <c:gapWidth val="107"/>
        <c:overlap val="-27"/>
        <c:axId val="1090218368"/>
        <c:axId val="1090215968"/>
      </c:barChart>
      <c:catAx>
        <c:axId val="10902183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90215968"/>
        <c:crosses val="autoZero"/>
        <c:auto val="1"/>
        <c:lblAlgn val="ctr"/>
        <c:lblOffset val="100"/>
        <c:noMultiLvlLbl val="0"/>
      </c:catAx>
      <c:valAx>
        <c:axId val="1090215968"/>
        <c:scaling>
          <c:orientation val="minMax"/>
        </c:scaling>
        <c:delete val="1"/>
        <c:axPos val="l"/>
        <c:numFmt formatCode="_-&quot;$&quot;* #,##0_-;\-&quot;$&quot;* #,##0_-;_-&quot;$&quot;* &quot;-&quot;??_-;_-@_-" sourceLinked="1"/>
        <c:majorTickMark val="none"/>
        <c:minorTickMark val="none"/>
        <c:tickLblPos val="nextTo"/>
        <c:crossAx val="109021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[miuso Final.xlsx]Analysis!PivotTable24</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1.0585708871952502E-2"/>
          <c:y val="2.1645304426632768E-2"/>
          <c:w val="0.60427807486631013"/>
          <c:h val="0.97835497835497831"/>
        </c:manualLayout>
      </c:layout>
      <c:pieChart>
        <c:varyColors val="1"/>
        <c:ser>
          <c:idx val="0"/>
          <c:order val="0"/>
          <c:tx>
            <c:strRef>
              <c:f>Analysis!$DN$20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E76-4E2E-9C36-3CBDED8F570B}"/>
              </c:ext>
            </c:extLst>
          </c:dPt>
          <c:dPt>
            <c:idx val="1"/>
            <c:bubble3D val="0"/>
            <c:spPr>
              <a:solidFill>
                <a:schemeClr val="accent2"/>
              </a:solidFill>
              <a:ln w="19050">
                <a:noFill/>
              </a:ln>
              <a:effectLst/>
            </c:spPr>
            <c:extLst>
              <c:ext xmlns:c16="http://schemas.microsoft.com/office/drawing/2014/chart" uri="{C3380CC4-5D6E-409C-BE32-E72D297353CC}">
                <c16:uniqueId val="{00000003-6E76-4E2E-9C36-3CBDED8F570B}"/>
              </c:ext>
            </c:extLst>
          </c:dPt>
          <c:dPt>
            <c:idx val="2"/>
            <c:bubble3D val="0"/>
            <c:spPr>
              <a:solidFill>
                <a:schemeClr val="accent3"/>
              </a:solidFill>
              <a:ln w="19050">
                <a:noFill/>
              </a:ln>
              <a:effectLst/>
            </c:spPr>
            <c:extLst>
              <c:ext xmlns:c16="http://schemas.microsoft.com/office/drawing/2014/chart" uri="{C3380CC4-5D6E-409C-BE32-E72D297353CC}">
                <c16:uniqueId val="{00000005-6E76-4E2E-9C36-3CBDED8F57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Analysis!$DM$21:$DM$23</c:f>
              <c:strCache>
                <c:ptCount val="3"/>
                <c:pt idx="0">
                  <c:v>تم التسليم</c:v>
                </c:pt>
                <c:pt idx="1">
                  <c:v>فشل التسليم</c:v>
                </c:pt>
                <c:pt idx="2">
                  <c:v>لاغي</c:v>
                </c:pt>
              </c:strCache>
            </c:strRef>
          </c:cat>
          <c:val>
            <c:numRef>
              <c:f>Analysis!$DN$21:$DN$23</c:f>
              <c:numCache>
                <c:formatCode>General</c:formatCode>
                <c:ptCount val="3"/>
                <c:pt idx="0">
                  <c:v>102</c:v>
                </c:pt>
                <c:pt idx="1">
                  <c:v>7</c:v>
                </c:pt>
                <c:pt idx="2">
                  <c:v>17</c:v>
                </c:pt>
              </c:numCache>
            </c:numRef>
          </c:val>
          <c:extLst>
            <c:ext xmlns:c16="http://schemas.microsoft.com/office/drawing/2014/chart" uri="{C3380CC4-5D6E-409C-BE32-E72D297353CC}">
              <c16:uniqueId val="{00000009-10EA-48C0-A03E-506C55E0B3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36231662902602E-2"/>
          <c:y val="0.17014573836165217"/>
          <c:w val="0.89712608598343813"/>
          <c:h val="0.72743334714739605"/>
        </c:manualLayout>
      </c:layout>
      <c:barChart>
        <c:barDir val="bar"/>
        <c:grouping val="clustered"/>
        <c:varyColors val="0"/>
        <c:ser>
          <c:idx val="0"/>
          <c:order val="0"/>
          <c:tx>
            <c:strRef>
              <c:f>Analysis!$DF$13</c:f>
              <c:strCache>
                <c:ptCount val="1"/>
                <c:pt idx="0">
                  <c:v>Count of هل تم التسليم قبل او في الموعد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Analysis!$DE$14:$DE$15</c:f>
              <c:strCache>
                <c:ptCount val="2"/>
                <c:pt idx="0">
                  <c:v>لا</c:v>
                </c:pt>
                <c:pt idx="1">
                  <c:v>نعم</c:v>
                </c:pt>
              </c:strCache>
            </c:strRef>
          </c:cat>
          <c:val>
            <c:numRef>
              <c:f>Analysis!$DF$14:$DF$15</c:f>
              <c:numCache>
                <c:formatCode>General</c:formatCode>
                <c:ptCount val="2"/>
                <c:pt idx="0">
                  <c:v>68</c:v>
                </c:pt>
                <c:pt idx="1">
                  <c:v>58</c:v>
                </c:pt>
              </c:numCache>
            </c:numRef>
          </c:val>
          <c:extLst>
            <c:ext xmlns:c16="http://schemas.microsoft.com/office/drawing/2014/chart" uri="{C3380CC4-5D6E-409C-BE32-E72D297353CC}">
              <c16:uniqueId val="{00000000-8FC2-4DD0-9298-8BDCCF60B442}"/>
            </c:ext>
          </c:extLst>
        </c:ser>
        <c:dLbls>
          <c:dLblPos val="outEnd"/>
          <c:showLegendKey val="0"/>
          <c:showVal val="1"/>
          <c:showCatName val="0"/>
          <c:showSerName val="0"/>
          <c:showPercent val="0"/>
          <c:showBubbleSize val="0"/>
        </c:dLbls>
        <c:gapWidth val="105"/>
        <c:axId val="1309852048"/>
        <c:axId val="1309850128"/>
      </c:barChart>
      <c:catAx>
        <c:axId val="13098520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9850128"/>
        <c:crosses val="autoZero"/>
        <c:auto val="1"/>
        <c:lblAlgn val="ctr"/>
        <c:lblOffset val="100"/>
        <c:noMultiLvlLbl val="0"/>
      </c:catAx>
      <c:valAx>
        <c:axId val="1309850128"/>
        <c:scaling>
          <c:orientation val="minMax"/>
        </c:scaling>
        <c:delete val="1"/>
        <c:axPos val="b"/>
        <c:numFmt formatCode="General" sourceLinked="1"/>
        <c:majorTickMark val="none"/>
        <c:minorTickMark val="none"/>
        <c:tickLblPos val="nextTo"/>
        <c:crossAx val="1309852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15147815825348"/>
          <c:y val="4.2735042735042736E-2"/>
          <c:w val="0.71871587756956734"/>
          <c:h val="0.9145299145299145"/>
        </c:manualLayout>
      </c:layout>
      <c:barChart>
        <c:barDir val="bar"/>
        <c:grouping val="clustered"/>
        <c:varyColors val="0"/>
        <c:ser>
          <c:idx val="0"/>
          <c:order val="0"/>
          <c:tx>
            <c:strRef>
              <c:f>Analysis!$EA$7</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Analysis!$DZ$8:$DZ$19</c:f>
              <c:strCache>
                <c:ptCount val="12"/>
                <c:pt idx="0">
                  <c:v>نبيتى</c:v>
                </c:pt>
                <c:pt idx="1">
                  <c:v>ملون</c:v>
                </c:pt>
                <c:pt idx="2">
                  <c:v>دهبي</c:v>
                </c:pt>
                <c:pt idx="3">
                  <c:v>بنفسجى</c:v>
                </c:pt>
                <c:pt idx="4">
                  <c:v>بينك</c:v>
                </c:pt>
                <c:pt idx="5">
                  <c:v>ازرق</c:v>
                </c:pt>
                <c:pt idx="6">
                  <c:v>الوان</c:v>
                </c:pt>
                <c:pt idx="7">
                  <c:v>غير معروف</c:v>
                </c:pt>
                <c:pt idx="8">
                  <c:v>رمادى</c:v>
                </c:pt>
                <c:pt idx="9">
                  <c:v>(blank)</c:v>
                </c:pt>
                <c:pt idx="10">
                  <c:v>ابيض</c:v>
                </c:pt>
                <c:pt idx="11">
                  <c:v>اسود</c:v>
                </c:pt>
              </c:strCache>
            </c:strRef>
          </c:cat>
          <c:val>
            <c:numRef>
              <c:f>Analysis!$EA$8:$EA$19</c:f>
              <c:numCache>
                <c:formatCode>_-"$"* #,##0_-;\-"$"* #,##0_-;_-"$"* "-"??_-;_-@_-</c:formatCode>
                <c:ptCount val="12"/>
                <c:pt idx="0">
                  <c:v>5135</c:v>
                </c:pt>
                <c:pt idx="1">
                  <c:v>8544.9054400000005</c:v>
                </c:pt>
                <c:pt idx="2">
                  <c:v>15528</c:v>
                </c:pt>
                <c:pt idx="3">
                  <c:v>25244</c:v>
                </c:pt>
                <c:pt idx="4">
                  <c:v>25798</c:v>
                </c:pt>
                <c:pt idx="5">
                  <c:v>29771</c:v>
                </c:pt>
                <c:pt idx="6">
                  <c:v>34099.910000000003</c:v>
                </c:pt>
                <c:pt idx="7">
                  <c:v>57192</c:v>
                </c:pt>
                <c:pt idx="8">
                  <c:v>68491</c:v>
                </c:pt>
                <c:pt idx="9">
                  <c:v>150659</c:v>
                </c:pt>
                <c:pt idx="10">
                  <c:v>350498</c:v>
                </c:pt>
                <c:pt idx="11">
                  <c:v>521689</c:v>
                </c:pt>
              </c:numCache>
            </c:numRef>
          </c:val>
          <c:extLst>
            <c:ext xmlns:c16="http://schemas.microsoft.com/office/drawing/2014/chart" uri="{C3380CC4-5D6E-409C-BE32-E72D297353CC}">
              <c16:uniqueId val="{00000000-0552-4EA2-9FF8-A2E7E6D22FCD}"/>
            </c:ext>
          </c:extLst>
        </c:ser>
        <c:dLbls>
          <c:dLblPos val="outEnd"/>
          <c:showLegendKey val="0"/>
          <c:showVal val="1"/>
          <c:showCatName val="0"/>
          <c:showSerName val="0"/>
          <c:showPercent val="0"/>
          <c:showBubbleSize val="0"/>
        </c:dLbls>
        <c:gapWidth val="182"/>
        <c:axId val="1352379840"/>
        <c:axId val="1352378400"/>
      </c:barChart>
      <c:catAx>
        <c:axId val="1352379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2378400"/>
        <c:crosses val="autoZero"/>
        <c:auto val="1"/>
        <c:lblAlgn val="ctr"/>
        <c:lblOffset val="100"/>
        <c:noMultiLvlLbl val="0"/>
      </c:catAx>
      <c:valAx>
        <c:axId val="1352378400"/>
        <c:scaling>
          <c:orientation val="minMax"/>
        </c:scaling>
        <c:delete val="1"/>
        <c:axPos val="b"/>
        <c:numFmt formatCode="_-&quot;$&quot;* #,##0_-;\-&quot;$&quot;* #,##0_-;_-&quot;$&quot;* &quot;-&quot;??_-;_-@_-" sourceLinked="1"/>
        <c:majorTickMark val="none"/>
        <c:minorTickMark val="none"/>
        <c:tickLblPos val="nextTo"/>
        <c:crossAx val="1352379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C17A46E8-344C-4C7A-A255-8BEF062A9854}">
          <cx:tx>
            <cx:txData>
              <cx:f>_xlchart.v2.1</cx:f>
              <cx:v>Total Sales</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jpeg"/><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83820</xdr:rowOff>
    </xdr:from>
    <xdr:to>
      <xdr:col>4</xdr:col>
      <xdr:colOff>76200</xdr:colOff>
      <xdr:row>30</xdr:row>
      <xdr:rowOff>152400</xdr:rowOff>
    </xdr:to>
    <xdr:sp macro="" textlink="">
      <xdr:nvSpPr>
        <xdr:cNvPr id="2" name="Rectangle: Rounded Corners 1">
          <a:extLst>
            <a:ext uri="{FF2B5EF4-FFF2-40B4-BE49-F238E27FC236}">
              <a16:creationId xmlns:a16="http://schemas.microsoft.com/office/drawing/2014/main" id="{FCF58E85-04A7-4EA5-9C98-1457E54ED8CA}"/>
            </a:ext>
          </a:extLst>
        </xdr:cNvPr>
        <xdr:cNvSpPr/>
      </xdr:nvSpPr>
      <xdr:spPr>
        <a:xfrm>
          <a:off x="76200" y="83820"/>
          <a:ext cx="2438400" cy="5554980"/>
        </a:xfrm>
        <a:prstGeom prst="roundRect">
          <a:avLst>
            <a:gd name="adj" fmla="val 2524"/>
          </a:avLst>
        </a:prstGeom>
        <a:gradFill>
          <a:gsLst>
            <a:gs pos="0">
              <a:srgbClr val="192E59"/>
            </a:gs>
            <a:gs pos="14000">
              <a:srgbClr val="192E59"/>
            </a:gs>
            <a:gs pos="70000">
              <a:srgbClr val="C00000"/>
            </a:gs>
            <a:gs pos="100000">
              <a:srgbClr val="192E59"/>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0</xdr:col>
      <xdr:colOff>266700</xdr:colOff>
      <xdr:row>0</xdr:row>
      <xdr:rowOff>148243</xdr:rowOff>
    </xdr:from>
    <xdr:to>
      <xdr:col>3</xdr:col>
      <xdr:colOff>493369</xdr:colOff>
      <xdr:row>8</xdr:row>
      <xdr:rowOff>114300</xdr:rowOff>
    </xdr:to>
    <xdr:sp macro="" textlink="">
      <xdr:nvSpPr>
        <xdr:cNvPr id="3" name="Oval 2">
          <a:extLst>
            <a:ext uri="{FF2B5EF4-FFF2-40B4-BE49-F238E27FC236}">
              <a16:creationId xmlns:a16="http://schemas.microsoft.com/office/drawing/2014/main" id="{5D8D8106-71FB-4E04-A1B8-7175B64FB7EC}"/>
            </a:ext>
          </a:extLst>
        </xdr:cNvPr>
        <xdr:cNvSpPr/>
      </xdr:nvSpPr>
      <xdr:spPr>
        <a:xfrm>
          <a:off x="266700" y="148243"/>
          <a:ext cx="2055469" cy="1429097"/>
        </a:xfrm>
        <a:prstGeom prst="ellipse">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144780</xdr:colOff>
      <xdr:row>0</xdr:row>
      <xdr:rowOff>116477</xdr:rowOff>
    </xdr:from>
    <xdr:to>
      <xdr:col>23</xdr:col>
      <xdr:colOff>106679</xdr:colOff>
      <xdr:row>5</xdr:row>
      <xdr:rowOff>7621</xdr:rowOff>
    </xdr:to>
    <xdr:sp macro="" textlink="">
      <xdr:nvSpPr>
        <xdr:cNvPr id="4" name="Rectangle: Rounded Corners 3">
          <a:extLst>
            <a:ext uri="{FF2B5EF4-FFF2-40B4-BE49-F238E27FC236}">
              <a16:creationId xmlns:a16="http://schemas.microsoft.com/office/drawing/2014/main" id="{FD51FAE2-4CB8-4A3E-8E2E-787D3A3BF77D}"/>
            </a:ext>
          </a:extLst>
        </xdr:cNvPr>
        <xdr:cNvSpPr/>
      </xdr:nvSpPr>
      <xdr:spPr>
        <a:xfrm>
          <a:off x="2583180" y="116477"/>
          <a:ext cx="11544299" cy="805544"/>
        </a:xfrm>
        <a:prstGeom prst="roundRect">
          <a:avLst/>
        </a:prstGeom>
        <a:gradFill>
          <a:gsLst>
            <a:gs pos="0">
              <a:srgbClr val="192E59"/>
            </a:gs>
            <a:gs pos="14000">
              <a:srgbClr val="192E59"/>
            </a:gs>
            <a:gs pos="70000">
              <a:srgbClr val="C00000"/>
            </a:gs>
            <a:gs pos="100000">
              <a:srgbClr val="192E59"/>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7</xdr:col>
      <xdr:colOff>358187</xdr:colOff>
      <xdr:row>1</xdr:row>
      <xdr:rowOff>76200</xdr:rowOff>
    </xdr:from>
    <xdr:to>
      <xdr:col>18</xdr:col>
      <xdr:colOff>212511</xdr:colOff>
      <xdr:row>4</xdr:row>
      <xdr:rowOff>15232</xdr:rowOff>
    </xdr:to>
    <xdr:sp macro="" textlink="">
      <xdr:nvSpPr>
        <xdr:cNvPr id="5" name="TextBox 4">
          <a:extLst>
            <a:ext uri="{FF2B5EF4-FFF2-40B4-BE49-F238E27FC236}">
              <a16:creationId xmlns:a16="http://schemas.microsoft.com/office/drawing/2014/main" id="{5AA25A81-5586-4750-A66F-183230AE5C5B}"/>
            </a:ext>
          </a:extLst>
        </xdr:cNvPr>
        <xdr:cNvSpPr txBox="1"/>
      </xdr:nvSpPr>
      <xdr:spPr>
        <a:xfrm>
          <a:off x="4625387" y="259080"/>
          <a:ext cx="6559924"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rgbClr val="F2F2F2"/>
              </a:solidFill>
              <a:effectLst/>
              <a:latin typeface="+mn-lt"/>
              <a:ea typeface="+mn-ea"/>
              <a:cs typeface="+mn-cs"/>
            </a:rPr>
            <a:t>MISUO Dashboard</a:t>
          </a:r>
          <a:endParaRPr lang="en-US" sz="4000" b="1">
            <a:solidFill>
              <a:srgbClr val="F2F2F2"/>
            </a:solidFill>
            <a:effectLst/>
          </a:endParaRPr>
        </a:p>
      </xdr:txBody>
    </xdr:sp>
    <xdr:clientData/>
  </xdr:twoCellAnchor>
  <xdr:twoCellAnchor>
    <xdr:from>
      <xdr:col>4</xdr:col>
      <xdr:colOff>175261</xdr:colOff>
      <xdr:row>5</xdr:row>
      <xdr:rowOff>60960</xdr:rowOff>
    </xdr:from>
    <xdr:to>
      <xdr:col>8</xdr:col>
      <xdr:colOff>525781</xdr:colOff>
      <xdr:row>11</xdr:row>
      <xdr:rowOff>161107</xdr:rowOff>
    </xdr:to>
    <xdr:sp macro="" textlink="">
      <xdr:nvSpPr>
        <xdr:cNvPr id="6" name="Rectangle: Rounded Corners 5">
          <a:extLst>
            <a:ext uri="{FF2B5EF4-FFF2-40B4-BE49-F238E27FC236}">
              <a16:creationId xmlns:a16="http://schemas.microsoft.com/office/drawing/2014/main" id="{772DDF61-96E8-4E98-91F6-3A4F70E3FA3E}"/>
            </a:ext>
          </a:extLst>
        </xdr:cNvPr>
        <xdr:cNvSpPr/>
      </xdr:nvSpPr>
      <xdr:spPr>
        <a:xfrm>
          <a:off x="2613661" y="975360"/>
          <a:ext cx="2788920"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148046</xdr:colOff>
      <xdr:row>20</xdr:row>
      <xdr:rowOff>15240</xdr:rowOff>
    </xdr:from>
    <xdr:to>
      <xdr:col>10</xdr:col>
      <xdr:colOff>426720</xdr:colOff>
      <xdr:row>30</xdr:row>
      <xdr:rowOff>106680</xdr:rowOff>
    </xdr:to>
    <xdr:sp macro="" textlink="">
      <xdr:nvSpPr>
        <xdr:cNvPr id="7" name="Rectangle: Rounded Corners 6">
          <a:extLst>
            <a:ext uri="{FF2B5EF4-FFF2-40B4-BE49-F238E27FC236}">
              <a16:creationId xmlns:a16="http://schemas.microsoft.com/office/drawing/2014/main" id="{2064EB6E-017C-47C6-9A67-FBF8F8E1EA04}"/>
            </a:ext>
          </a:extLst>
        </xdr:cNvPr>
        <xdr:cNvSpPr/>
      </xdr:nvSpPr>
      <xdr:spPr>
        <a:xfrm>
          <a:off x="2586446" y="3672840"/>
          <a:ext cx="3936274" cy="1920240"/>
        </a:xfrm>
        <a:prstGeom prst="roundRect">
          <a:avLst>
            <a:gd name="adj" fmla="val 10318"/>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198167</xdr:colOff>
      <xdr:row>5</xdr:row>
      <xdr:rowOff>30480</xdr:rowOff>
    </xdr:from>
    <xdr:to>
      <xdr:col>7</xdr:col>
      <xdr:colOff>76200</xdr:colOff>
      <xdr:row>7</xdr:row>
      <xdr:rowOff>152392</xdr:rowOff>
    </xdr:to>
    <xdr:sp macro="" textlink="Analysis!I7">
      <xdr:nvSpPr>
        <xdr:cNvPr id="10" name="TextBox 9">
          <a:extLst>
            <a:ext uri="{FF2B5EF4-FFF2-40B4-BE49-F238E27FC236}">
              <a16:creationId xmlns:a16="http://schemas.microsoft.com/office/drawing/2014/main" id="{C7E09A25-3E75-4681-9AD8-59DBB2D7C7EB}"/>
            </a:ext>
          </a:extLst>
        </xdr:cNvPr>
        <xdr:cNvSpPr txBox="1"/>
      </xdr:nvSpPr>
      <xdr:spPr>
        <a:xfrm>
          <a:off x="2636567" y="94488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E6B2FBC-96CE-408E-AE7E-8AF5E9E41EDE}"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Total Customers</a:t>
          </a:fld>
          <a:endParaRPr lang="en-US" sz="2400" b="1">
            <a:solidFill>
              <a:schemeClr val="bg1"/>
            </a:solidFill>
            <a:effectLst/>
          </a:endParaRPr>
        </a:p>
      </xdr:txBody>
    </xdr:sp>
    <xdr:clientData/>
  </xdr:twoCellAnchor>
  <xdr:twoCellAnchor>
    <xdr:from>
      <xdr:col>6</xdr:col>
      <xdr:colOff>213407</xdr:colOff>
      <xdr:row>7</xdr:row>
      <xdr:rowOff>30480</xdr:rowOff>
    </xdr:from>
    <xdr:to>
      <xdr:col>9</xdr:col>
      <xdr:colOff>91440</xdr:colOff>
      <xdr:row>9</xdr:row>
      <xdr:rowOff>152392</xdr:rowOff>
    </xdr:to>
    <xdr:sp macro="" textlink="Analysis!J7">
      <xdr:nvSpPr>
        <xdr:cNvPr id="11" name="TextBox 10">
          <a:extLst>
            <a:ext uri="{FF2B5EF4-FFF2-40B4-BE49-F238E27FC236}">
              <a16:creationId xmlns:a16="http://schemas.microsoft.com/office/drawing/2014/main" id="{01534F36-77BD-42FC-AEE9-DB291EA300A3}"/>
            </a:ext>
          </a:extLst>
        </xdr:cNvPr>
        <xdr:cNvSpPr txBox="1"/>
      </xdr:nvSpPr>
      <xdr:spPr>
        <a:xfrm>
          <a:off x="3871007" y="131064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Vs Last</a:t>
          </a:r>
          <a:r>
            <a:rPr lang="en-US" sz="1600" b="1" baseline="0">
              <a:solidFill>
                <a:schemeClr val="bg1"/>
              </a:solidFill>
              <a:effectLst/>
            </a:rPr>
            <a:t> Month</a:t>
          </a:r>
          <a:endParaRPr lang="en-US" sz="1600" b="1">
            <a:solidFill>
              <a:schemeClr val="bg1"/>
            </a:solidFill>
            <a:effectLst/>
          </a:endParaRPr>
        </a:p>
      </xdr:txBody>
    </xdr:sp>
    <xdr:clientData/>
  </xdr:twoCellAnchor>
  <xdr:twoCellAnchor>
    <xdr:from>
      <xdr:col>7</xdr:col>
      <xdr:colOff>76247</xdr:colOff>
      <xdr:row>5</xdr:row>
      <xdr:rowOff>91440</xdr:rowOff>
    </xdr:from>
    <xdr:to>
      <xdr:col>9</xdr:col>
      <xdr:colOff>22860</xdr:colOff>
      <xdr:row>7</xdr:row>
      <xdr:rowOff>99060</xdr:rowOff>
    </xdr:to>
    <xdr:sp macro="" textlink="Analysis!I15">
      <xdr:nvSpPr>
        <xdr:cNvPr id="12" name="TextBox 11">
          <a:extLst>
            <a:ext uri="{FF2B5EF4-FFF2-40B4-BE49-F238E27FC236}">
              <a16:creationId xmlns:a16="http://schemas.microsoft.com/office/drawing/2014/main" id="{B6100486-39DB-4A92-8B41-D046EFE5E959}"/>
            </a:ext>
          </a:extLst>
        </xdr:cNvPr>
        <xdr:cNvSpPr txBox="1"/>
      </xdr:nvSpPr>
      <xdr:spPr>
        <a:xfrm>
          <a:off x="4343447" y="10058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3AA3651-83E6-48CF-B78A-E0CC946AD82C}"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126</a:t>
          </a:fld>
          <a:endParaRPr lang="en-US" sz="3600" b="1">
            <a:solidFill>
              <a:schemeClr val="bg1"/>
            </a:solidFill>
            <a:effectLst/>
          </a:endParaRPr>
        </a:p>
      </xdr:txBody>
    </xdr:sp>
    <xdr:clientData/>
  </xdr:twoCellAnchor>
  <xdr:twoCellAnchor>
    <xdr:from>
      <xdr:col>4</xdr:col>
      <xdr:colOff>335327</xdr:colOff>
      <xdr:row>7</xdr:row>
      <xdr:rowOff>99060</xdr:rowOff>
    </xdr:from>
    <xdr:to>
      <xdr:col>6</xdr:col>
      <xdr:colOff>281940</xdr:colOff>
      <xdr:row>9</xdr:row>
      <xdr:rowOff>106680</xdr:rowOff>
    </xdr:to>
    <xdr:sp macro="" textlink="Analysis!J15">
      <xdr:nvSpPr>
        <xdr:cNvPr id="13" name="TextBox 12">
          <a:extLst>
            <a:ext uri="{FF2B5EF4-FFF2-40B4-BE49-F238E27FC236}">
              <a16:creationId xmlns:a16="http://schemas.microsoft.com/office/drawing/2014/main" id="{B01A3884-AD4C-49B9-82B7-5C931400F983}"/>
            </a:ext>
          </a:extLst>
        </xdr:cNvPr>
        <xdr:cNvSpPr txBox="1"/>
      </xdr:nvSpPr>
      <xdr:spPr>
        <a:xfrm>
          <a:off x="2773727" y="13792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8E4CD67-AE40-444B-8DB7-1F441936ECCB}"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119</a:t>
          </a:fld>
          <a:endParaRPr lang="en-US" sz="4800" b="1">
            <a:solidFill>
              <a:schemeClr val="bg1"/>
            </a:solidFill>
            <a:effectLst/>
          </a:endParaRPr>
        </a:p>
      </xdr:txBody>
    </xdr:sp>
    <xdr:clientData/>
  </xdr:twoCellAnchor>
  <xdr:twoCellAnchor>
    <xdr:from>
      <xdr:col>7</xdr:col>
      <xdr:colOff>114347</xdr:colOff>
      <xdr:row>9</xdr:row>
      <xdr:rowOff>91440</xdr:rowOff>
    </xdr:from>
    <xdr:to>
      <xdr:col>9</xdr:col>
      <xdr:colOff>60960</xdr:colOff>
      <xdr:row>11</xdr:row>
      <xdr:rowOff>99060</xdr:rowOff>
    </xdr:to>
    <xdr:sp macro="" textlink="Analysis!K15">
      <xdr:nvSpPr>
        <xdr:cNvPr id="14" name="TextBox 13">
          <a:extLst>
            <a:ext uri="{FF2B5EF4-FFF2-40B4-BE49-F238E27FC236}">
              <a16:creationId xmlns:a16="http://schemas.microsoft.com/office/drawing/2014/main" id="{1F1C7FCD-B26E-4133-BCDA-A4E9E611B48E}"/>
            </a:ext>
          </a:extLst>
        </xdr:cNvPr>
        <xdr:cNvSpPr txBox="1"/>
      </xdr:nvSpPr>
      <xdr:spPr>
        <a:xfrm>
          <a:off x="4381547" y="173736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7F24927-1D30-4240-A394-C15FC6B23A30}"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5.9%</a:t>
          </a:fld>
          <a:endParaRPr lang="en-US" sz="4800" b="1">
            <a:solidFill>
              <a:schemeClr val="bg1"/>
            </a:solidFill>
            <a:effectLst/>
          </a:endParaRPr>
        </a:p>
      </xdr:txBody>
    </xdr:sp>
    <xdr:clientData/>
  </xdr:twoCellAnchor>
  <xdr:twoCellAnchor>
    <xdr:from>
      <xdr:col>4</xdr:col>
      <xdr:colOff>45767</xdr:colOff>
      <xdr:row>9</xdr:row>
      <xdr:rowOff>99060</xdr:rowOff>
    </xdr:from>
    <xdr:to>
      <xdr:col>7</xdr:col>
      <xdr:colOff>510540</xdr:colOff>
      <xdr:row>11</xdr:row>
      <xdr:rowOff>106680</xdr:rowOff>
    </xdr:to>
    <xdr:sp macro="" textlink="Analysis!K7">
      <xdr:nvSpPr>
        <xdr:cNvPr id="15" name="TextBox 14">
          <a:extLst>
            <a:ext uri="{FF2B5EF4-FFF2-40B4-BE49-F238E27FC236}">
              <a16:creationId xmlns:a16="http://schemas.microsoft.com/office/drawing/2014/main" id="{0213021D-FE5B-40F2-914C-2A67205BFC28}"/>
            </a:ext>
          </a:extLst>
        </xdr:cNvPr>
        <xdr:cNvSpPr txBox="1"/>
      </xdr:nvSpPr>
      <xdr:spPr>
        <a:xfrm>
          <a:off x="2484167" y="1744980"/>
          <a:ext cx="229357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C0E2090-EB20-4DFB-B270-D7263A2743D8}"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Customers Growth %</a:t>
          </a:fld>
          <a:endParaRPr lang="en-US" sz="2400" b="1">
            <a:solidFill>
              <a:schemeClr val="bg1"/>
            </a:solidFill>
            <a:effectLst/>
          </a:endParaRPr>
        </a:p>
      </xdr:txBody>
    </xdr:sp>
    <xdr:clientData/>
  </xdr:twoCellAnchor>
  <xdr:twoCellAnchor>
    <xdr:from>
      <xdr:col>4</xdr:col>
      <xdr:colOff>289560</xdr:colOff>
      <xdr:row>7</xdr:row>
      <xdr:rowOff>91440</xdr:rowOff>
    </xdr:from>
    <xdr:to>
      <xdr:col>8</xdr:col>
      <xdr:colOff>457200</xdr:colOff>
      <xdr:row>7</xdr:row>
      <xdr:rowOff>99060</xdr:rowOff>
    </xdr:to>
    <xdr:cxnSp macro="">
      <xdr:nvCxnSpPr>
        <xdr:cNvPr id="17" name="Straight Connector 16">
          <a:extLst>
            <a:ext uri="{FF2B5EF4-FFF2-40B4-BE49-F238E27FC236}">
              <a16:creationId xmlns:a16="http://schemas.microsoft.com/office/drawing/2014/main" id="{B9ACF93D-0516-1318-228D-850301ED8EAA}"/>
            </a:ext>
          </a:extLst>
        </xdr:cNvPr>
        <xdr:cNvCxnSpPr/>
      </xdr:nvCxnSpPr>
      <xdr:spPr>
        <a:xfrm>
          <a:off x="2727960" y="137160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274320</xdr:colOff>
      <xdr:row>9</xdr:row>
      <xdr:rowOff>91440</xdr:rowOff>
    </xdr:from>
    <xdr:to>
      <xdr:col>8</xdr:col>
      <xdr:colOff>457200</xdr:colOff>
      <xdr:row>9</xdr:row>
      <xdr:rowOff>99060</xdr:rowOff>
    </xdr:to>
    <xdr:cxnSp macro="">
      <xdr:nvCxnSpPr>
        <xdr:cNvPr id="18" name="Straight Connector 17">
          <a:extLst>
            <a:ext uri="{FF2B5EF4-FFF2-40B4-BE49-F238E27FC236}">
              <a16:creationId xmlns:a16="http://schemas.microsoft.com/office/drawing/2014/main" id="{34A68A4B-03BD-4FCE-A33B-B8BB508F6D9C}"/>
            </a:ext>
          </a:extLst>
        </xdr:cNvPr>
        <xdr:cNvCxnSpPr/>
      </xdr:nvCxnSpPr>
      <xdr:spPr>
        <a:xfrm>
          <a:off x="2712720" y="173736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27213</xdr:colOff>
      <xdr:row>5</xdr:row>
      <xdr:rowOff>60960</xdr:rowOff>
    </xdr:from>
    <xdr:to>
      <xdr:col>13</xdr:col>
      <xdr:colOff>388620</xdr:colOff>
      <xdr:row>11</xdr:row>
      <xdr:rowOff>161107</xdr:rowOff>
    </xdr:to>
    <xdr:sp macro="" textlink="">
      <xdr:nvSpPr>
        <xdr:cNvPr id="19" name="Rectangle: Rounded Corners 18">
          <a:extLst>
            <a:ext uri="{FF2B5EF4-FFF2-40B4-BE49-F238E27FC236}">
              <a16:creationId xmlns:a16="http://schemas.microsoft.com/office/drawing/2014/main" id="{3C53DBEB-4A57-406E-BEF8-AC9498F1C39E}"/>
            </a:ext>
          </a:extLst>
        </xdr:cNvPr>
        <xdr:cNvSpPr/>
      </xdr:nvSpPr>
      <xdr:spPr>
        <a:xfrm>
          <a:off x="5513613" y="975360"/>
          <a:ext cx="2799807"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9</xdr:col>
      <xdr:colOff>68627</xdr:colOff>
      <xdr:row>5</xdr:row>
      <xdr:rowOff>22860</xdr:rowOff>
    </xdr:from>
    <xdr:to>
      <xdr:col>11</xdr:col>
      <xdr:colOff>152400</xdr:colOff>
      <xdr:row>7</xdr:row>
      <xdr:rowOff>144772</xdr:rowOff>
    </xdr:to>
    <xdr:sp macro="" textlink="Analysis!F14">
      <xdr:nvSpPr>
        <xdr:cNvPr id="20" name="TextBox 19">
          <a:extLst>
            <a:ext uri="{FF2B5EF4-FFF2-40B4-BE49-F238E27FC236}">
              <a16:creationId xmlns:a16="http://schemas.microsoft.com/office/drawing/2014/main" id="{F841D9D0-CEC2-4C78-84E7-ADDD8254A5B2}"/>
            </a:ext>
          </a:extLst>
        </xdr:cNvPr>
        <xdr:cNvSpPr txBox="1"/>
      </xdr:nvSpPr>
      <xdr:spPr>
        <a:xfrm>
          <a:off x="5555027" y="937260"/>
          <a:ext cx="130297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C8B619A-A79D-440B-A95D-082214B5F41F}"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Total Sales</a:t>
          </a:fld>
          <a:endParaRPr lang="en-US" sz="3600" b="1">
            <a:solidFill>
              <a:schemeClr val="bg1"/>
            </a:solidFill>
            <a:effectLst/>
          </a:endParaRPr>
        </a:p>
      </xdr:txBody>
    </xdr:sp>
    <xdr:clientData/>
  </xdr:twoCellAnchor>
  <xdr:twoCellAnchor>
    <xdr:from>
      <xdr:col>11</xdr:col>
      <xdr:colOff>45767</xdr:colOff>
      <xdr:row>7</xdr:row>
      <xdr:rowOff>30480</xdr:rowOff>
    </xdr:from>
    <xdr:to>
      <xdr:col>13</xdr:col>
      <xdr:colOff>533400</xdr:colOff>
      <xdr:row>9</xdr:row>
      <xdr:rowOff>152392</xdr:rowOff>
    </xdr:to>
    <xdr:sp macro="" textlink="Analysis!J7">
      <xdr:nvSpPr>
        <xdr:cNvPr id="21" name="TextBox 20">
          <a:extLst>
            <a:ext uri="{FF2B5EF4-FFF2-40B4-BE49-F238E27FC236}">
              <a16:creationId xmlns:a16="http://schemas.microsoft.com/office/drawing/2014/main" id="{475D77CF-4B0F-4CA9-85B5-B5E874159624}"/>
            </a:ext>
          </a:extLst>
        </xdr:cNvPr>
        <xdr:cNvSpPr txBox="1"/>
      </xdr:nvSpPr>
      <xdr:spPr>
        <a:xfrm>
          <a:off x="6751367" y="131064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Vs Last</a:t>
          </a:r>
          <a:r>
            <a:rPr lang="en-US" sz="1600" b="1" baseline="0">
              <a:solidFill>
                <a:schemeClr val="bg1"/>
              </a:solidFill>
              <a:effectLst/>
            </a:rPr>
            <a:t> Month</a:t>
          </a:r>
          <a:endParaRPr lang="en-US" sz="1600" b="1">
            <a:solidFill>
              <a:schemeClr val="bg1"/>
            </a:solidFill>
            <a:effectLst/>
          </a:endParaRPr>
        </a:p>
      </xdr:txBody>
    </xdr:sp>
    <xdr:clientData/>
  </xdr:twoCellAnchor>
  <xdr:twoCellAnchor>
    <xdr:from>
      <xdr:col>11</xdr:col>
      <xdr:colOff>335327</xdr:colOff>
      <xdr:row>5</xdr:row>
      <xdr:rowOff>83820</xdr:rowOff>
    </xdr:from>
    <xdr:to>
      <xdr:col>13</xdr:col>
      <xdr:colOff>281940</xdr:colOff>
      <xdr:row>7</xdr:row>
      <xdr:rowOff>91440</xdr:rowOff>
    </xdr:to>
    <xdr:sp macro="" textlink="Analysis!F15">
      <xdr:nvSpPr>
        <xdr:cNvPr id="22" name="TextBox 21">
          <a:extLst>
            <a:ext uri="{FF2B5EF4-FFF2-40B4-BE49-F238E27FC236}">
              <a16:creationId xmlns:a16="http://schemas.microsoft.com/office/drawing/2014/main" id="{A68764B6-999E-4327-97AF-B6E62C2221CE}"/>
            </a:ext>
          </a:extLst>
        </xdr:cNvPr>
        <xdr:cNvSpPr txBox="1"/>
      </xdr:nvSpPr>
      <xdr:spPr>
        <a:xfrm>
          <a:off x="7040927" y="9982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4A4CBA0-AFE6-465C-AE52-C8907A553876}"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$1,292,650 </a:t>
          </a:fld>
          <a:endParaRPr lang="en-US" sz="4800" b="1">
            <a:solidFill>
              <a:schemeClr val="bg1"/>
            </a:solidFill>
            <a:effectLst/>
          </a:endParaRPr>
        </a:p>
      </xdr:txBody>
    </xdr:sp>
    <xdr:clientData/>
  </xdr:twoCellAnchor>
  <xdr:twoCellAnchor>
    <xdr:from>
      <xdr:col>9</xdr:col>
      <xdr:colOff>114347</xdr:colOff>
      <xdr:row>7</xdr:row>
      <xdr:rowOff>99060</xdr:rowOff>
    </xdr:from>
    <xdr:to>
      <xdr:col>11</xdr:col>
      <xdr:colOff>60960</xdr:colOff>
      <xdr:row>9</xdr:row>
      <xdr:rowOff>106680</xdr:rowOff>
    </xdr:to>
    <xdr:sp macro="" textlink="Analysis!G15">
      <xdr:nvSpPr>
        <xdr:cNvPr id="23" name="TextBox 22">
          <a:extLst>
            <a:ext uri="{FF2B5EF4-FFF2-40B4-BE49-F238E27FC236}">
              <a16:creationId xmlns:a16="http://schemas.microsoft.com/office/drawing/2014/main" id="{F60AD0E0-7835-47DE-A40F-CADE7B62DE98}"/>
            </a:ext>
          </a:extLst>
        </xdr:cNvPr>
        <xdr:cNvSpPr txBox="1"/>
      </xdr:nvSpPr>
      <xdr:spPr>
        <a:xfrm>
          <a:off x="5600747" y="13792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EFA2DA3-0EDC-4D33-812A-7D5185C65AD9}"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$1,221,642 </a:t>
          </a:fld>
          <a:endParaRPr lang="en-US" sz="6600" b="1">
            <a:solidFill>
              <a:schemeClr val="bg1"/>
            </a:solidFill>
            <a:effectLst/>
          </a:endParaRPr>
        </a:p>
      </xdr:txBody>
    </xdr:sp>
    <xdr:clientData/>
  </xdr:twoCellAnchor>
  <xdr:twoCellAnchor>
    <xdr:from>
      <xdr:col>11</xdr:col>
      <xdr:colOff>472487</xdr:colOff>
      <xdr:row>9</xdr:row>
      <xdr:rowOff>129540</xdr:rowOff>
    </xdr:from>
    <xdr:to>
      <xdr:col>13</xdr:col>
      <xdr:colOff>419100</xdr:colOff>
      <xdr:row>11</xdr:row>
      <xdr:rowOff>137160</xdr:rowOff>
    </xdr:to>
    <xdr:sp macro="" textlink="Analysis!H15">
      <xdr:nvSpPr>
        <xdr:cNvPr id="24" name="TextBox 23">
          <a:extLst>
            <a:ext uri="{FF2B5EF4-FFF2-40B4-BE49-F238E27FC236}">
              <a16:creationId xmlns:a16="http://schemas.microsoft.com/office/drawing/2014/main" id="{6B3D0FB8-624D-4A91-8D7E-4466D6E71ED7}"/>
            </a:ext>
          </a:extLst>
        </xdr:cNvPr>
        <xdr:cNvSpPr txBox="1"/>
      </xdr:nvSpPr>
      <xdr:spPr>
        <a:xfrm>
          <a:off x="7178087" y="177546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F3E200C-48FD-4167-8EA6-09BBEDB54788}"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5.8%</a:t>
          </a:fld>
          <a:endParaRPr lang="en-US" sz="6600" b="1">
            <a:solidFill>
              <a:schemeClr val="bg1"/>
            </a:solidFill>
            <a:effectLst/>
          </a:endParaRPr>
        </a:p>
      </xdr:txBody>
    </xdr:sp>
    <xdr:clientData/>
  </xdr:twoCellAnchor>
  <xdr:twoCellAnchor>
    <xdr:from>
      <xdr:col>9</xdr:col>
      <xdr:colOff>0</xdr:colOff>
      <xdr:row>9</xdr:row>
      <xdr:rowOff>114300</xdr:rowOff>
    </xdr:from>
    <xdr:to>
      <xdr:col>12</xdr:col>
      <xdr:colOff>22860</xdr:colOff>
      <xdr:row>11</xdr:row>
      <xdr:rowOff>121920</xdr:rowOff>
    </xdr:to>
    <xdr:sp macro="" textlink="Analysis!H14">
      <xdr:nvSpPr>
        <xdr:cNvPr id="25" name="TextBox 24">
          <a:extLst>
            <a:ext uri="{FF2B5EF4-FFF2-40B4-BE49-F238E27FC236}">
              <a16:creationId xmlns:a16="http://schemas.microsoft.com/office/drawing/2014/main" id="{7081648F-7FBD-4EBE-B89C-CE735A502F47}"/>
            </a:ext>
          </a:extLst>
        </xdr:cNvPr>
        <xdr:cNvSpPr txBox="1"/>
      </xdr:nvSpPr>
      <xdr:spPr>
        <a:xfrm>
          <a:off x="5486400" y="1760220"/>
          <a:ext cx="18516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F683483-2EC6-46FA-94FB-36BC2D1DAB4C}"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MoM Growth %</a:t>
          </a:fld>
          <a:endParaRPr lang="en-US" sz="3600" b="1">
            <a:solidFill>
              <a:schemeClr val="bg1"/>
            </a:solidFill>
            <a:effectLst/>
          </a:endParaRPr>
        </a:p>
      </xdr:txBody>
    </xdr:sp>
    <xdr:clientData/>
  </xdr:twoCellAnchor>
  <xdr:twoCellAnchor>
    <xdr:from>
      <xdr:col>13</xdr:col>
      <xdr:colOff>484413</xdr:colOff>
      <xdr:row>5</xdr:row>
      <xdr:rowOff>60960</xdr:rowOff>
    </xdr:from>
    <xdr:to>
      <xdr:col>18</xdr:col>
      <xdr:colOff>243840</xdr:colOff>
      <xdr:row>11</xdr:row>
      <xdr:rowOff>161107</xdr:rowOff>
    </xdr:to>
    <xdr:sp macro="" textlink="">
      <xdr:nvSpPr>
        <xdr:cNvPr id="26" name="Rectangle: Rounded Corners 25">
          <a:extLst>
            <a:ext uri="{FF2B5EF4-FFF2-40B4-BE49-F238E27FC236}">
              <a16:creationId xmlns:a16="http://schemas.microsoft.com/office/drawing/2014/main" id="{3C87503F-CC76-481D-BF6F-F555DB66D901}"/>
            </a:ext>
          </a:extLst>
        </xdr:cNvPr>
        <xdr:cNvSpPr/>
      </xdr:nvSpPr>
      <xdr:spPr>
        <a:xfrm>
          <a:off x="8409213" y="975360"/>
          <a:ext cx="2807427"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13</xdr:col>
      <xdr:colOff>487727</xdr:colOff>
      <xdr:row>5</xdr:row>
      <xdr:rowOff>30480</xdr:rowOff>
    </xdr:from>
    <xdr:to>
      <xdr:col>16</xdr:col>
      <xdr:colOff>365760</xdr:colOff>
      <xdr:row>7</xdr:row>
      <xdr:rowOff>152392</xdr:rowOff>
    </xdr:to>
    <xdr:sp macro="" textlink="Analysis!L7">
      <xdr:nvSpPr>
        <xdr:cNvPr id="27" name="TextBox 26">
          <a:extLst>
            <a:ext uri="{FF2B5EF4-FFF2-40B4-BE49-F238E27FC236}">
              <a16:creationId xmlns:a16="http://schemas.microsoft.com/office/drawing/2014/main" id="{C55F98C6-15E5-4991-9E9F-346BDF785FD8}"/>
            </a:ext>
          </a:extLst>
        </xdr:cNvPr>
        <xdr:cNvSpPr txBox="1"/>
      </xdr:nvSpPr>
      <xdr:spPr>
        <a:xfrm>
          <a:off x="8412527" y="94488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17BA48B-8639-4312-8DE0-2129B71DE27F}"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Total Quantity</a:t>
          </a:fld>
          <a:endParaRPr lang="en-US" sz="3600" b="1">
            <a:solidFill>
              <a:schemeClr val="bg1"/>
            </a:solidFill>
            <a:effectLst/>
          </a:endParaRPr>
        </a:p>
      </xdr:txBody>
    </xdr:sp>
    <xdr:clientData/>
  </xdr:twoCellAnchor>
  <xdr:twoCellAnchor>
    <xdr:from>
      <xdr:col>15</xdr:col>
      <xdr:colOff>502967</xdr:colOff>
      <xdr:row>7</xdr:row>
      <xdr:rowOff>30480</xdr:rowOff>
    </xdr:from>
    <xdr:to>
      <xdr:col>18</xdr:col>
      <xdr:colOff>381000</xdr:colOff>
      <xdr:row>9</xdr:row>
      <xdr:rowOff>152392</xdr:rowOff>
    </xdr:to>
    <xdr:sp macro="" textlink="Analysis!J7">
      <xdr:nvSpPr>
        <xdr:cNvPr id="28" name="TextBox 27">
          <a:extLst>
            <a:ext uri="{FF2B5EF4-FFF2-40B4-BE49-F238E27FC236}">
              <a16:creationId xmlns:a16="http://schemas.microsoft.com/office/drawing/2014/main" id="{D89D19B1-FCF7-4B86-B24C-9865E874AA1E}"/>
            </a:ext>
          </a:extLst>
        </xdr:cNvPr>
        <xdr:cNvSpPr txBox="1"/>
      </xdr:nvSpPr>
      <xdr:spPr>
        <a:xfrm>
          <a:off x="9646967" y="131064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Vs Last</a:t>
          </a:r>
          <a:r>
            <a:rPr lang="en-US" sz="1600" b="1" baseline="0">
              <a:solidFill>
                <a:schemeClr val="bg1"/>
              </a:solidFill>
              <a:effectLst/>
            </a:rPr>
            <a:t> Month</a:t>
          </a:r>
          <a:endParaRPr lang="en-US" sz="1600" b="1">
            <a:solidFill>
              <a:schemeClr val="bg1"/>
            </a:solidFill>
            <a:effectLst/>
          </a:endParaRPr>
        </a:p>
      </xdr:txBody>
    </xdr:sp>
    <xdr:clientData/>
  </xdr:twoCellAnchor>
  <xdr:twoCellAnchor>
    <xdr:from>
      <xdr:col>16</xdr:col>
      <xdr:colOff>373427</xdr:colOff>
      <xdr:row>5</xdr:row>
      <xdr:rowOff>99060</xdr:rowOff>
    </xdr:from>
    <xdr:to>
      <xdr:col>18</xdr:col>
      <xdr:colOff>320040</xdr:colOff>
      <xdr:row>7</xdr:row>
      <xdr:rowOff>106680</xdr:rowOff>
    </xdr:to>
    <xdr:sp macro="" textlink="Analysis!L15">
      <xdr:nvSpPr>
        <xdr:cNvPr id="29" name="TextBox 28">
          <a:extLst>
            <a:ext uri="{FF2B5EF4-FFF2-40B4-BE49-F238E27FC236}">
              <a16:creationId xmlns:a16="http://schemas.microsoft.com/office/drawing/2014/main" id="{890FA15F-272C-4BB2-982F-476940040434}"/>
            </a:ext>
          </a:extLst>
        </xdr:cNvPr>
        <xdr:cNvSpPr txBox="1"/>
      </xdr:nvSpPr>
      <xdr:spPr>
        <a:xfrm>
          <a:off x="10127027" y="101346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D69073C-F19F-4218-807D-BC20FC5ADB08}"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154</a:t>
          </a:fld>
          <a:endParaRPr lang="en-US" sz="4800" b="1">
            <a:solidFill>
              <a:schemeClr val="bg1"/>
            </a:solidFill>
            <a:effectLst/>
          </a:endParaRPr>
        </a:p>
      </xdr:txBody>
    </xdr:sp>
    <xdr:clientData/>
  </xdr:twoCellAnchor>
  <xdr:twoCellAnchor>
    <xdr:from>
      <xdr:col>14</xdr:col>
      <xdr:colOff>15287</xdr:colOff>
      <xdr:row>7</xdr:row>
      <xdr:rowOff>99060</xdr:rowOff>
    </xdr:from>
    <xdr:to>
      <xdr:col>15</xdr:col>
      <xdr:colOff>571500</xdr:colOff>
      <xdr:row>9</xdr:row>
      <xdr:rowOff>106680</xdr:rowOff>
    </xdr:to>
    <xdr:sp macro="" textlink="Analysis!M15">
      <xdr:nvSpPr>
        <xdr:cNvPr id="30" name="TextBox 29">
          <a:extLst>
            <a:ext uri="{FF2B5EF4-FFF2-40B4-BE49-F238E27FC236}">
              <a16:creationId xmlns:a16="http://schemas.microsoft.com/office/drawing/2014/main" id="{779FA7A2-1957-4C26-B288-86BD26043183}"/>
            </a:ext>
          </a:extLst>
        </xdr:cNvPr>
        <xdr:cNvSpPr txBox="1"/>
      </xdr:nvSpPr>
      <xdr:spPr>
        <a:xfrm>
          <a:off x="8549687" y="13792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DC6365B-B7E2-42F2-97AD-36419D65109D}"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147</a:t>
          </a:fld>
          <a:endParaRPr lang="en-US" sz="6600" b="1">
            <a:solidFill>
              <a:schemeClr val="bg1"/>
            </a:solidFill>
            <a:effectLst/>
          </a:endParaRPr>
        </a:p>
      </xdr:txBody>
    </xdr:sp>
    <xdr:clientData/>
  </xdr:twoCellAnchor>
  <xdr:twoCellAnchor>
    <xdr:from>
      <xdr:col>16</xdr:col>
      <xdr:colOff>388667</xdr:colOff>
      <xdr:row>9</xdr:row>
      <xdr:rowOff>121920</xdr:rowOff>
    </xdr:from>
    <xdr:to>
      <xdr:col>18</xdr:col>
      <xdr:colOff>335280</xdr:colOff>
      <xdr:row>11</xdr:row>
      <xdr:rowOff>129540</xdr:rowOff>
    </xdr:to>
    <xdr:sp macro="" textlink="Analysis!N15">
      <xdr:nvSpPr>
        <xdr:cNvPr id="31" name="TextBox 30">
          <a:extLst>
            <a:ext uri="{FF2B5EF4-FFF2-40B4-BE49-F238E27FC236}">
              <a16:creationId xmlns:a16="http://schemas.microsoft.com/office/drawing/2014/main" id="{1F1CD31A-230E-4087-B93A-DB8065269DF7}"/>
            </a:ext>
          </a:extLst>
        </xdr:cNvPr>
        <xdr:cNvSpPr txBox="1"/>
      </xdr:nvSpPr>
      <xdr:spPr>
        <a:xfrm>
          <a:off x="10142267" y="17678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B3D7A69-6040-4C08-942E-0083DD834FDE}"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4.8%</a:t>
          </a:fld>
          <a:endParaRPr lang="en-US" sz="6600" b="1">
            <a:solidFill>
              <a:schemeClr val="bg1"/>
            </a:solidFill>
            <a:effectLst/>
          </a:endParaRPr>
        </a:p>
      </xdr:txBody>
    </xdr:sp>
    <xdr:clientData/>
  </xdr:twoCellAnchor>
  <xdr:twoCellAnchor>
    <xdr:from>
      <xdr:col>13</xdr:col>
      <xdr:colOff>335327</xdr:colOff>
      <xdr:row>9</xdr:row>
      <xdr:rowOff>121920</xdr:rowOff>
    </xdr:from>
    <xdr:to>
      <xdr:col>17</xdr:col>
      <xdr:colOff>190500</xdr:colOff>
      <xdr:row>11</xdr:row>
      <xdr:rowOff>129540</xdr:rowOff>
    </xdr:to>
    <xdr:sp macro="" textlink="Analysis!N14">
      <xdr:nvSpPr>
        <xdr:cNvPr id="32" name="TextBox 31">
          <a:extLst>
            <a:ext uri="{FF2B5EF4-FFF2-40B4-BE49-F238E27FC236}">
              <a16:creationId xmlns:a16="http://schemas.microsoft.com/office/drawing/2014/main" id="{5CBCC709-A317-4813-AB8F-08A691B13FD7}"/>
            </a:ext>
          </a:extLst>
        </xdr:cNvPr>
        <xdr:cNvSpPr txBox="1"/>
      </xdr:nvSpPr>
      <xdr:spPr>
        <a:xfrm>
          <a:off x="8260127" y="1767840"/>
          <a:ext cx="229357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75C67BA-5360-4A93-833F-D423DAD3D200}"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Quantity Growth %</a:t>
          </a:fld>
          <a:endParaRPr lang="en-US" sz="3600" b="1">
            <a:solidFill>
              <a:schemeClr val="bg1"/>
            </a:solidFill>
            <a:effectLst/>
          </a:endParaRPr>
        </a:p>
      </xdr:txBody>
    </xdr:sp>
    <xdr:clientData/>
  </xdr:twoCellAnchor>
  <xdr:twoCellAnchor>
    <xdr:from>
      <xdr:col>4</xdr:col>
      <xdr:colOff>141512</xdr:colOff>
      <xdr:row>12</xdr:row>
      <xdr:rowOff>45720</xdr:rowOff>
    </xdr:from>
    <xdr:to>
      <xdr:col>12</xdr:col>
      <xdr:colOff>350520</xdr:colOff>
      <xdr:row>19</xdr:row>
      <xdr:rowOff>138247</xdr:rowOff>
    </xdr:to>
    <xdr:sp macro="" textlink="">
      <xdr:nvSpPr>
        <xdr:cNvPr id="40" name="Rectangle: Rounded Corners 39">
          <a:extLst>
            <a:ext uri="{FF2B5EF4-FFF2-40B4-BE49-F238E27FC236}">
              <a16:creationId xmlns:a16="http://schemas.microsoft.com/office/drawing/2014/main" id="{2635FE27-E513-4C69-A4E1-0615D63E378A}"/>
            </a:ext>
          </a:extLst>
        </xdr:cNvPr>
        <xdr:cNvSpPr/>
      </xdr:nvSpPr>
      <xdr:spPr>
        <a:xfrm>
          <a:off x="2579912" y="2240280"/>
          <a:ext cx="5085808" cy="1372687"/>
        </a:xfrm>
        <a:prstGeom prst="roundRect">
          <a:avLst>
            <a:gd name="adj" fmla="val 11207"/>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1">
            <a:solidFill>
              <a:schemeClr val="bg1"/>
            </a:solidFill>
          </a:endParaRPr>
        </a:p>
      </xdr:txBody>
    </xdr:sp>
    <xdr:clientData/>
  </xdr:twoCellAnchor>
  <xdr:twoCellAnchor>
    <xdr:from>
      <xdr:col>9</xdr:col>
      <xdr:colOff>137160</xdr:colOff>
      <xdr:row>7</xdr:row>
      <xdr:rowOff>106680</xdr:rowOff>
    </xdr:from>
    <xdr:to>
      <xdr:col>13</xdr:col>
      <xdr:colOff>304800</xdr:colOff>
      <xdr:row>7</xdr:row>
      <xdr:rowOff>114300</xdr:rowOff>
    </xdr:to>
    <xdr:cxnSp macro="">
      <xdr:nvCxnSpPr>
        <xdr:cNvPr id="49" name="Straight Connector 48">
          <a:extLst>
            <a:ext uri="{FF2B5EF4-FFF2-40B4-BE49-F238E27FC236}">
              <a16:creationId xmlns:a16="http://schemas.microsoft.com/office/drawing/2014/main" id="{1FCE4FBC-00D4-477C-B898-88798B30FF53}"/>
            </a:ext>
          </a:extLst>
        </xdr:cNvPr>
        <xdr:cNvCxnSpPr/>
      </xdr:nvCxnSpPr>
      <xdr:spPr>
        <a:xfrm>
          <a:off x="5623560" y="138684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121920</xdr:colOff>
      <xdr:row>9</xdr:row>
      <xdr:rowOff>114300</xdr:rowOff>
    </xdr:from>
    <xdr:to>
      <xdr:col>13</xdr:col>
      <xdr:colOff>304800</xdr:colOff>
      <xdr:row>9</xdr:row>
      <xdr:rowOff>121920</xdr:rowOff>
    </xdr:to>
    <xdr:cxnSp macro="">
      <xdr:nvCxnSpPr>
        <xdr:cNvPr id="50" name="Straight Connector 49">
          <a:extLst>
            <a:ext uri="{FF2B5EF4-FFF2-40B4-BE49-F238E27FC236}">
              <a16:creationId xmlns:a16="http://schemas.microsoft.com/office/drawing/2014/main" id="{83C278BF-5D94-4922-925A-16BD8C018363}"/>
            </a:ext>
          </a:extLst>
        </xdr:cNvPr>
        <xdr:cNvCxnSpPr/>
      </xdr:nvCxnSpPr>
      <xdr:spPr>
        <a:xfrm>
          <a:off x="5608320" y="176022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594360</xdr:colOff>
      <xdr:row>7</xdr:row>
      <xdr:rowOff>114300</xdr:rowOff>
    </xdr:from>
    <xdr:to>
      <xdr:col>18</xdr:col>
      <xdr:colOff>152400</xdr:colOff>
      <xdr:row>7</xdr:row>
      <xdr:rowOff>121920</xdr:rowOff>
    </xdr:to>
    <xdr:cxnSp macro="">
      <xdr:nvCxnSpPr>
        <xdr:cNvPr id="51" name="Straight Connector 50">
          <a:extLst>
            <a:ext uri="{FF2B5EF4-FFF2-40B4-BE49-F238E27FC236}">
              <a16:creationId xmlns:a16="http://schemas.microsoft.com/office/drawing/2014/main" id="{48BFC5C4-7CCF-4FFC-A8E2-97C3FEF3F4AA}"/>
            </a:ext>
          </a:extLst>
        </xdr:cNvPr>
        <xdr:cNvCxnSpPr/>
      </xdr:nvCxnSpPr>
      <xdr:spPr>
        <a:xfrm>
          <a:off x="8519160" y="139446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579120</xdr:colOff>
      <xdr:row>9</xdr:row>
      <xdr:rowOff>121920</xdr:rowOff>
    </xdr:from>
    <xdr:to>
      <xdr:col>18</xdr:col>
      <xdr:colOff>152400</xdr:colOff>
      <xdr:row>9</xdr:row>
      <xdr:rowOff>129540</xdr:rowOff>
    </xdr:to>
    <xdr:cxnSp macro="">
      <xdr:nvCxnSpPr>
        <xdr:cNvPr id="52" name="Straight Connector 51">
          <a:extLst>
            <a:ext uri="{FF2B5EF4-FFF2-40B4-BE49-F238E27FC236}">
              <a16:creationId xmlns:a16="http://schemas.microsoft.com/office/drawing/2014/main" id="{89DCCAD6-D6F9-4934-9392-E4903652AAB6}"/>
            </a:ext>
          </a:extLst>
        </xdr:cNvPr>
        <xdr:cNvCxnSpPr/>
      </xdr:nvCxnSpPr>
      <xdr:spPr>
        <a:xfrm>
          <a:off x="8503920" y="176784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316773</xdr:colOff>
      <xdr:row>5</xdr:row>
      <xdr:rowOff>53340</xdr:rowOff>
    </xdr:from>
    <xdr:to>
      <xdr:col>23</xdr:col>
      <xdr:colOff>76200</xdr:colOff>
      <xdr:row>11</xdr:row>
      <xdr:rowOff>153487</xdr:rowOff>
    </xdr:to>
    <xdr:sp macro="" textlink="">
      <xdr:nvSpPr>
        <xdr:cNvPr id="53" name="Rectangle: Rounded Corners 52">
          <a:extLst>
            <a:ext uri="{FF2B5EF4-FFF2-40B4-BE49-F238E27FC236}">
              <a16:creationId xmlns:a16="http://schemas.microsoft.com/office/drawing/2014/main" id="{2C80CF35-C0F6-4927-A000-5DC1283BC203}"/>
            </a:ext>
          </a:extLst>
        </xdr:cNvPr>
        <xdr:cNvSpPr/>
      </xdr:nvSpPr>
      <xdr:spPr>
        <a:xfrm>
          <a:off x="11289573" y="967740"/>
          <a:ext cx="2807427"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320087</xdr:colOff>
      <xdr:row>5</xdr:row>
      <xdr:rowOff>22860</xdr:rowOff>
    </xdr:from>
    <xdr:to>
      <xdr:col>21</xdr:col>
      <xdr:colOff>198120</xdr:colOff>
      <xdr:row>7</xdr:row>
      <xdr:rowOff>144772</xdr:rowOff>
    </xdr:to>
    <xdr:sp macro="" textlink="Analysis!O14">
      <xdr:nvSpPr>
        <xdr:cNvPr id="54" name="TextBox 53">
          <a:extLst>
            <a:ext uri="{FF2B5EF4-FFF2-40B4-BE49-F238E27FC236}">
              <a16:creationId xmlns:a16="http://schemas.microsoft.com/office/drawing/2014/main" id="{C03462F5-256A-4660-8F40-3DD41EC2D497}"/>
            </a:ext>
          </a:extLst>
        </xdr:cNvPr>
        <xdr:cNvSpPr txBox="1"/>
      </xdr:nvSpPr>
      <xdr:spPr>
        <a:xfrm>
          <a:off x="11292887" y="93726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E659778-E9DE-42A5-8721-7D6A767E383E}"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Average Selling Price</a:t>
          </a:fld>
          <a:endParaRPr lang="en-US" sz="4800" b="1">
            <a:solidFill>
              <a:schemeClr val="bg1"/>
            </a:solidFill>
            <a:effectLst/>
          </a:endParaRPr>
        </a:p>
      </xdr:txBody>
    </xdr:sp>
    <xdr:clientData/>
  </xdr:twoCellAnchor>
  <xdr:twoCellAnchor>
    <xdr:from>
      <xdr:col>18</xdr:col>
      <xdr:colOff>335327</xdr:colOff>
      <xdr:row>7</xdr:row>
      <xdr:rowOff>38100</xdr:rowOff>
    </xdr:from>
    <xdr:to>
      <xdr:col>21</xdr:col>
      <xdr:colOff>541020</xdr:colOff>
      <xdr:row>9</xdr:row>
      <xdr:rowOff>160012</xdr:rowOff>
    </xdr:to>
    <xdr:sp macro="" textlink="Analysis!J7">
      <xdr:nvSpPr>
        <xdr:cNvPr id="55" name="TextBox 54">
          <a:extLst>
            <a:ext uri="{FF2B5EF4-FFF2-40B4-BE49-F238E27FC236}">
              <a16:creationId xmlns:a16="http://schemas.microsoft.com/office/drawing/2014/main" id="{FA406707-19A6-4C69-977D-B6090D6002E2}"/>
            </a:ext>
          </a:extLst>
        </xdr:cNvPr>
        <xdr:cNvSpPr txBox="1"/>
      </xdr:nvSpPr>
      <xdr:spPr>
        <a:xfrm>
          <a:off x="11308127" y="1318260"/>
          <a:ext cx="203449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Count</a:t>
          </a:r>
          <a:r>
            <a:rPr lang="en-US" sz="1600" b="1" baseline="0">
              <a:solidFill>
                <a:schemeClr val="bg1"/>
              </a:solidFill>
              <a:effectLst/>
            </a:rPr>
            <a:t> governorates</a:t>
          </a:r>
          <a:endParaRPr lang="en-US" sz="1600" b="1">
            <a:solidFill>
              <a:schemeClr val="bg1"/>
            </a:solidFill>
            <a:effectLst/>
          </a:endParaRPr>
        </a:p>
      </xdr:txBody>
    </xdr:sp>
    <xdr:clientData/>
  </xdr:twoCellAnchor>
  <xdr:twoCellAnchor>
    <xdr:from>
      <xdr:col>21</xdr:col>
      <xdr:colOff>205787</xdr:colOff>
      <xdr:row>5</xdr:row>
      <xdr:rowOff>91440</xdr:rowOff>
    </xdr:from>
    <xdr:to>
      <xdr:col>23</xdr:col>
      <xdr:colOff>152400</xdr:colOff>
      <xdr:row>7</xdr:row>
      <xdr:rowOff>99060</xdr:rowOff>
    </xdr:to>
    <xdr:sp macro="" textlink="Analysis!O15">
      <xdr:nvSpPr>
        <xdr:cNvPr id="56" name="TextBox 55">
          <a:extLst>
            <a:ext uri="{FF2B5EF4-FFF2-40B4-BE49-F238E27FC236}">
              <a16:creationId xmlns:a16="http://schemas.microsoft.com/office/drawing/2014/main" id="{2B2EC9BC-4C11-41EC-87F5-EA4E4957C785}"/>
            </a:ext>
          </a:extLst>
        </xdr:cNvPr>
        <xdr:cNvSpPr txBox="1"/>
      </xdr:nvSpPr>
      <xdr:spPr>
        <a:xfrm>
          <a:off x="13007387" y="10058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4CECAFF-353E-43A0-9476-8444E5999DB7}"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$10,259 </a:t>
          </a:fld>
          <a:endParaRPr lang="en-US" sz="6600" b="1">
            <a:solidFill>
              <a:schemeClr val="bg1"/>
            </a:solidFill>
            <a:effectLst/>
          </a:endParaRPr>
        </a:p>
      </xdr:txBody>
    </xdr:sp>
    <xdr:clientData/>
  </xdr:twoCellAnchor>
  <xdr:twoCellAnchor>
    <xdr:from>
      <xdr:col>21</xdr:col>
      <xdr:colOff>236267</xdr:colOff>
      <xdr:row>7</xdr:row>
      <xdr:rowOff>121920</xdr:rowOff>
    </xdr:from>
    <xdr:to>
      <xdr:col>23</xdr:col>
      <xdr:colOff>182880</xdr:colOff>
      <xdr:row>9</xdr:row>
      <xdr:rowOff>129540</xdr:rowOff>
    </xdr:to>
    <xdr:sp macro="" textlink="Analysis!R8">
      <xdr:nvSpPr>
        <xdr:cNvPr id="57" name="TextBox 56">
          <a:extLst>
            <a:ext uri="{FF2B5EF4-FFF2-40B4-BE49-F238E27FC236}">
              <a16:creationId xmlns:a16="http://schemas.microsoft.com/office/drawing/2014/main" id="{0F65ECE8-1FDC-4099-BDAB-2E85AF78D2EE}"/>
            </a:ext>
          </a:extLst>
        </xdr:cNvPr>
        <xdr:cNvSpPr txBox="1"/>
      </xdr:nvSpPr>
      <xdr:spPr>
        <a:xfrm>
          <a:off x="13037867" y="140208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0258B6EF-CEA2-437C-BFEA-160E5534ED17}"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9</a:t>
          </a:fld>
          <a:endParaRPr lang="en-US" sz="8800" b="1">
            <a:solidFill>
              <a:schemeClr val="bg1"/>
            </a:solidFill>
            <a:effectLst/>
          </a:endParaRPr>
        </a:p>
      </xdr:txBody>
    </xdr:sp>
    <xdr:clientData/>
  </xdr:twoCellAnchor>
  <xdr:twoCellAnchor>
    <xdr:from>
      <xdr:col>21</xdr:col>
      <xdr:colOff>251507</xdr:colOff>
      <xdr:row>9</xdr:row>
      <xdr:rowOff>121920</xdr:rowOff>
    </xdr:from>
    <xdr:to>
      <xdr:col>23</xdr:col>
      <xdr:colOff>198120</xdr:colOff>
      <xdr:row>11</xdr:row>
      <xdr:rowOff>129540</xdr:rowOff>
    </xdr:to>
    <xdr:sp macro="" textlink="Analysis!S15">
      <xdr:nvSpPr>
        <xdr:cNvPr id="58" name="TextBox 57">
          <a:extLst>
            <a:ext uri="{FF2B5EF4-FFF2-40B4-BE49-F238E27FC236}">
              <a16:creationId xmlns:a16="http://schemas.microsoft.com/office/drawing/2014/main" id="{E11380D3-040A-4A25-9BE5-9096BC4B6AA1}"/>
            </a:ext>
          </a:extLst>
        </xdr:cNvPr>
        <xdr:cNvSpPr txBox="1"/>
      </xdr:nvSpPr>
      <xdr:spPr>
        <a:xfrm>
          <a:off x="13053107" y="17678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952A111-8E57-4798-8260-DDA402A7C40B}"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a:t>
          </a:fld>
          <a:endParaRPr lang="en-US" sz="8800" b="1">
            <a:solidFill>
              <a:schemeClr val="bg1"/>
            </a:solidFill>
            <a:effectLst/>
          </a:endParaRPr>
        </a:p>
      </xdr:txBody>
    </xdr:sp>
    <xdr:clientData/>
  </xdr:twoCellAnchor>
  <xdr:twoCellAnchor>
    <xdr:from>
      <xdr:col>18</xdr:col>
      <xdr:colOff>198167</xdr:colOff>
      <xdr:row>9</xdr:row>
      <xdr:rowOff>114300</xdr:rowOff>
    </xdr:from>
    <xdr:to>
      <xdr:col>21</xdr:col>
      <xdr:colOff>266700</xdr:colOff>
      <xdr:row>11</xdr:row>
      <xdr:rowOff>121920</xdr:rowOff>
    </xdr:to>
    <xdr:sp macro="" textlink="Analysis!N14">
      <xdr:nvSpPr>
        <xdr:cNvPr id="59" name="TextBox 58">
          <a:extLst>
            <a:ext uri="{FF2B5EF4-FFF2-40B4-BE49-F238E27FC236}">
              <a16:creationId xmlns:a16="http://schemas.microsoft.com/office/drawing/2014/main" id="{26083497-F742-4F6D-A5F3-6923FA38C1B9}"/>
            </a:ext>
          </a:extLst>
        </xdr:cNvPr>
        <xdr:cNvSpPr txBox="1"/>
      </xdr:nvSpPr>
      <xdr:spPr>
        <a:xfrm>
          <a:off x="11170967" y="1760220"/>
          <a:ext cx="189733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Sales platforms</a:t>
          </a:r>
        </a:p>
      </xdr:txBody>
    </xdr:sp>
    <xdr:clientData/>
  </xdr:twoCellAnchor>
  <xdr:twoCellAnchor>
    <xdr:from>
      <xdr:col>18</xdr:col>
      <xdr:colOff>426720</xdr:colOff>
      <xdr:row>7</xdr:row>
      <xdr:rowOff>106680</xdr:rowOff>
    </xdr:from>
    <xdr:to>
      <xdr:col>22</xdr:col>
      <xdr:colOff>594360</xdr:colOff>
      <xdr:row>7</xdr:row>
      <xdr:rowOff>114300</xdr:rowOff>
    </xdr:to>
    <xdr:cxnSp macro="">
      <xdr:nvCxnSpPr>
        <xdr:cNvPr id="60" name="Straight Connector 59">
          <a:extLst>
            <a:ext uri="{FF2B5EF4-FFF2-40B4-BE49-F238E27FC236}">
              <a16:creationId xmlns:a16="http://schemas.microsoft.com/office/drawing/2014/main" id="{115E6CDB-BDC6-4DBC-BB06-5E48ECF8E839}"/>
            </a:ext>
          </a:extLst>
        </xdr:cNvPr>
        <xdr:cNvCxnSpPr/>
      </xdr:nvCxnSpPr>
      <xdr:spPr>
        <a:xfrm>
          <a:off x="11399520" y="138684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411480</xdr:colOff>
      <xdr:row>9</xdr:row>
      <xdr:rowOff>114300</xdr:rowOff>
    </xdr:from>
    <xdr:to>
      <xdr:col>22</xdr:col>
      <xdr:colOff>594360</xdr:colOff>
      <xdr:row>9</xdr:row>
      <xdr:rowOff>121920</xdr:rowOff>
    </xdr:to>
    <xdr:cxnSp macro="">
      <xdr:nvCxnSpPr>
        <xdr:cNvPr id="61" name="Straight Connector 60">
          <a:extLst>
            <a:ext uri="{FF2B5EF4-FFF2-40B4-BE49-F238E27FC236}">
              <a16:creationId xmlns:a16="http://schemas.microsoft.com/office/drawing/2014/main" id="{9520CC0A-8703-44F7-B844-0197D03B960A}"/>
            </a:ext>
          </a:extLst>
        </xdr:cNvPr>
        <xdr:cNvCxnSpPr/>
      </xdr:nvCxnSpPr>
      <xdr:spPr>
        <a:xfrm>
          <a:off x="11384280" y="176022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91440</xdr:colOff>
      <xdr:row>21</xdr:row>
      <xdr:rowOff>129540</xdr:rowOff>
    </xdr:from>
    <xdr:to>
      <xdr:col>10</xdr:col>
      <xdr:colOff>388620</xdr:colOff>
      <xdr:row>30</xdr:row>
      <xdr:rowOff>13500</xdr:rowOff>
    </xdr:to>
    <xdr:graphicFrame macro="">
      <xdr:nvGraphicFramePr>
        <xdr:cNvPr id="62" name="Chart 61">
          <a:extLst>
            <a:ext uri="{FF2B5EF4-FFF2-40B4-BE49-F238E27FC236}">
              <a16:creationId xmlns:a16="http://schemas.microsoft.com/office/drawing/2014/main" id="{E9BBD39D-6ED4-41E5-B485-F91F0CF2B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594360</xdr:colOff>
      <xdr:row>13</xdr:row>
      <xdr:rowOff>152400</xdr:rowOff>
    </xdr:from>
    <xdr:to>
      <xdr:col>12</xdr:col>
      <xdr:colOff>373380</xdr:colOff>
      <xdr:row>19</xdr:row>
      <xdr:rowOff>91440</xdr:rowOff>
    </xdr:to>
    <xdr:graphicFrame macro="">
      <xdr:nvGraphicFramePr>
        <xdr:cNvPr id="63" name="Chart 62">
          <a:extLst>
            <a:ext uri="{FF2B5EF4-FFF2-40B4-BE49-F238E27FC236}">
              <a16:creationId xmlns:a16="http://schemas.microsoft.com/office/drawing/2014/main" id="{3B17B4F8-E7BA-4341-A720-E14FCC294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392972</xdr:colOff>
      <xdr:row>12</xdr:row>
      <xdr:rowOff>30480</xdr:rowOff>
    </xdr:from>
    <xdr:to>
      <xdr:col>18</xdr:col>
      <xdr:colOff>350520</xdr:colOff>
      <xdr:row>19</xdr:row>
      <xdr:rowOff>137160</xdr:rowOff>
    </xdr:to>
    <xdr:sp macro="" textlink="">
      <xdr:nvSpPr>
        <xdr:cNvPr id="64" name="Rectangle: Rounded Corners 63">
          <a:extLst>
            <a:ext uri="{FF2B5EF4-FFF2-40B4-BE49-F238E27FC236}">
              <a16:creationId xmlns:a16="http://schemas.microsoft.com/office/drawing/2014/main" id="{7B80CECA-509B-4F35-8666-5D0867AD9DB8}"/>
            </a:ext>
          </a:extLst>
        </xdr:cNvPr>
        <xdr:cNvSpPr/>
      </xdr:nvSpPr>
      <xdr:spPr>
        <a:xfrm>
          <a:off x="7708172" y="2225040"/>
          <a:ext cx="3615148" cy="1386840"/>
        </a:xfrm>
        <a:prstGeom prst="roundRect">
          <a:avLst>
            <a:gd name="adj" fmla="val 11905"/>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1">
            <a:solidFill>
              <a:schemeClr val="bg1"/>
            </a:solidFill>
          </a:endParaRPr>
        </a:p>
      </xdr:txBody>
    </xdr:sp>
    <xdr:clientData/>
  </xdr:twoCellAnchor>
  <xdr:twoCellAnchor>
    <xdr:from>
      <xdr:col>12</xdr:col>
      <xdr:colOff>342900</xdr:colOff>
      <xdr:row>12</xdr:row>
      <xdr:rowOff>106680</xdr:rowOff>
    </xdr:from>
    <xdr:to>
      <xdr:col>18</xdr:col>
      <xdr:colOff>342900</xdr:colOff>
      <xdr:row>19</xdr:row>
      <xdr:rowOff>68580</xdr:rowOff>
    </xdr:to>
    <xdr:graphicFrame macro="">
      <xdr:nvGraphicFramePr>
        <xdr:cNvPr id="65" name="Chart 64">
          <a:extLst>
            <a:ext uri="{FF2B5EF4-FFF2-40B4-BE49-F238E27FC236}">
              <a16:creationId xmlns:a16="http://schemas.microsoft.com/office/drawing/2014/main" id="{756A079F-18DE-4B03-B3C1-170BDA356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506186</xdr:colOff>
      <xdr:row>20</xdr:row>
      <xdr:rowOff>15240</xdr:rowOff>
    </xdr:from>
    <xdr:to>
      <xdr:col>17</xdr:col>
      <xdr:colOff>388620</xdr:colOff>
      <xdr:row>30</xdr:row>
      <xdr:rowOff>106680</xdr:rowOff>
    </xdr:to>
    <xdr:sp macro="" textlink="">
      <xdr:nvSpPr>
        <xdr:cNvPr id="66" name="Rectangle: Rounded Corners 65">
          <a:extLst>
            <a:ext uri="{FF2B5EF4-FFF2-40B4-BE49-F238E27FC236}">
              <a16:creationId xmlns:a16="http://schemas.microsoft.com/office/drawing/2014/main" id="{2CC13CA8-C851-48A0-8A25-7B85425BEFED}"/>
            </a:ext>
          </a:extLst>
        </xdr:cNvPr>
        <xdr:cNvSpPr/>
      </xdr:nvSpPr>
      <xdr:spPr>
        <a:xfrm>
          <a:off x="6602186" y="3672840"/>
          <a:ext cx="4149634" cy="1920240"/>
        </a:xfrm>
        <a:prstGeom prst="roundRect">
          <a:avLst>
            <a:gd name="adj" fmla="val 10318"/>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388620</xdr:colOff>
      <xdr:row>12</xdr:row>
      <xdr:rowOff>22860</xdr:rowOff>
    </xdr:from>
    <xdr:to>
      <xdr:col>23</xdr:col>
      <xdr:colOff>68580</xdr:colOff>
      <xdr:row>19</xdr:row>
      <xdr:rowOff>137160</xdr:rowOff>
    </xdr:to>
    <xdr:sp macro="" textlink="">
      <xdr:nvSpPr>
        <xdr:cNvPr id="67" name="Rectangle: Rounded Corners 66">
          <a:extLst>
            <a:ext uri="{FF2B5EF4-FFF2-40B4-BE49-F238E27FC236}">
              <a16:creationId xmlns:a16="http://schemas.microsoft.com/office/drawing/2014/main" id="{45E5A2EB-687C-46DE-A82D-E9453AE12AC9}"/>
            </a:ext>
          </a:extLst>
        </xdr:cNvPr>
        <xdr:cNvSpPr/>
      </xdr:nvSpPr>
      <xdr:spPr>
        <a:xfrm>
          <a:off x="11361420" y="2217420"/>
          <a:ext cx="2727960" cy="1394460"/>
        </a:xfrm>
        <a:prstGeom prst="roundRect">
          <a:avLst>
            <a:gd name="adj" fmla="val 10318"/>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220980</xdr:colOff>
      <xdr:row>13</xdr:row>
      <xdr:rowOff>152400</xdr:rowOff>
    </xdr:from>
    <xdr:to>
      <xdr:col>22</xdr:col>
      <xdr:colOff>518160</xdr:colOff>
      <xdr:row>20</xdr:row>
      <xdr:rowOff>53340</xdr:rowOff>
    </xdr:to>
    <xdr:graphicFrame macro="">
      <xdr:nvGraphicFramePr>
        <xdr:cNvPr id="68" name="Chart 67">
          <a:extLst>
            <a:ext uri="{FF2B5EF4-FFF2-40B4-BE49-F238E27FC236}">
              <a16:creationId xmlns:a16="http://schemas.microsoft.com/office/drawing/2014/main" id="{5C5DCCDF-DB66-4623-81B3-91CB27A96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20</xdr:row>
      <xdr:rowOff>0</xdr:rowOff>
    </xdr:from>
    <xdr:to>
      <xdr:col>23</xdr:col>
      <xdr:colOff>76200</xdr:colOff>
      <xdr:row>30</xdr:row>
      <xdr:rowOff>114300</xdr:rowOff>
    </xdr:to>
    <xdr:sp macro="" textlink="">
      <xdr:nvSpPr>
        <xdr:cNvPr id="70" name="Rectangle: Rounded Corners 69">
          <a:extLst>
            <a:ext uri="{FF2B5EF4-FFF2-40B4-BE49-F238E27FC236}">
              <a16:creationId xmlns:a16="http://schemas.microsoft.com/office/drawing/2014/main" id="{ABC26AAF-D9B0-4295-A302-FB4AAFB3ED05}"/>
            </a:ext>
          </a:extLst>
        </xdr:cNvPr>
        <xdr:cNvSpPr/>
      </xdr:nvSpPr>
      <xdr:spPr>
        <a:xfrm>
          <a:off x="10820400" y="3657600"/>
          <a:ext cx="3276600" cy="1943100"/>
        </a:xfrm>
        <a:prstGeom prst="roundRect">
          <a:avLst>
            <a:gd name="adj" fmla="val 10318"/>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17</xdr:col>
      <xdr:colOff>594360</xdr:colOff>
      <xdr:row>21</xdr:row>
      <xdr:rowOff>160020</xdr:rowOff>
    </xdr:from>
    <xdr:to>
      <xdr:col>23</xdr:col>
      <xdr:colOff>327660</xdr:colOff>
      <xdr:row>31</xdr:row>
      <xdr:rowOff>22860</xdr:rowOff>
    </xdr:to>
    <xdr:graphicFrame macro="">
      <xdr:nvGraphicFramePr>
        <xdr:cNvPr id="69" name="Chart 68">
          <a:extLst>
            <a:ext uri="{FF2B5EF4-FFF2-40B4-BE49-F238E27FC236}">
              <a16:creationId xmlns:a16="http://schemas.microsoft.com/office/drawing/2014/main" id="{A28016E8-3A4D-4180-9B82-936AC7E2F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487680</xdr:colOff>
      <xdr:row>22</xdr:row>
      <xdr:rowOff>38100</xdr:rowOff>
    </xdr:from>
    <xdr:to>
      <xdr:col>17</xdr:col>
      <xdr:colOff>396240</xdr:colOff>
      <xdr:row>30</xdr:row>
      <xdr:rowOff>152400</xdr:rowOff>
    </xdr:to>
    <xdr:graphicFrame macro="">
      <xdr:nvGraphicFramePr>
        <xdr:cNvPr id="71" name="Chart 70">
          <a:extLst>
            <a:ext uri="{FF2B5EF4-FFF2-40B4-BE49-F238E27FC236}">
              <a16:creationId xmlns:a16="http://schemas.microsoft.com/office/drawing/2014/main" id="{33D36E04-E83A-466D-BFF9-41E84C5E3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502967</xdr:colOff>
      <xdr:row>11</xdr:row>
      <xdr:rowOff>137160</xdr:rowOff>
    </xdr:from>
    <xdr:to>
      <xdr:col>8</xdr:col>
      <xdr:colOff>190500</xdr:colOff>
      <xdr:row>14</xdr:row>
      <xdr:rowOff>76192</xdr:rowOff>
    </xdr:to>
    <xdr:sp macro="" textlink="Analysis!I7">
      <xdr:nvSpPr>
        <xdr:cNvPr id="72" name="TextBox 71">
          <a:extLst>
            <a:ext uri="{FF2B5EF4-FFF2-40B4-BE49-F238E27FC236}">
              <a16:creationId xmlns:a16="http://schemas.microsoft.com/office/drawing/2014/main" id="{918A14D1-CEF8-48EF-9F7F-C73BA5EC7F6B}"/>
            </a:ext>
          </a:extLst>
        </xdr:cNvPr>
        <xdr:cNvSpPr txBox="1"/>
      </xdr:nvSpPr>
      <xdr:spPr>
        <a:xfrm>
          <a:off x="2331767" y="2148840"/>
          <a:ext cx="27355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Month</a:t>
          </a:r>
          <a:endParaRPr lang="en-US" sz="1800" b="1">
            <a:solidFill>
              <a:schemeClr val="bg1"/>
            </a:solidFill>
            <a:effectLst/>
          </a:endParaRPr>
        </a:p>
      </xdr:txBody>
    </xdr:sp>
    <xdr:clientData/>
  </xdr:twoCellAnchor>
  <xdr:twoCellAnchor>
    <xdr:from>
      <xdr:col>12</xdr:col>
      <xdr:colOff>358140</xdr:colOff>
      <xdr:row>12</xdr:row>
      <xdr:rowOff>7620</xdr:rowOff>
    </xdr:from>
    <xdr:to>
      <xdr:col>16</xdr:col>
      <xdr:colOff>152400</xdr:colOff>
      <xdr:row>13</xdr:row>
      <xdr:rowOff>167632</xdr:rowOff>
    </xdr:to>
    <xdr:sp macro="" textlink="Analysis!I7">
      <xdr:nvSpPr>
        <xdr:cNvPr id="73" name="TextBox 72">
          <a:extLst>
            <a:ext uri="{FF2B5EF4-FFF2-40B4-BE49-F238E27FC236}">
              <a16:creationId xmlns:a16="http://schemas.microsoft.com/office/drawing/2014/main" id="{8B76ABC9-DA7E-4E41-ACF5-80E344C0E5D9}"/>
            </a:ext>
          </a:extLst>
        </xdr:cNvPr>
        <xdr:cNvSpPr txBox="1"/>
      </xdr:nvSpPr>
      <xdr:spPr>
        <a:xfrm>
          <a:off x="7673340" y="2202180"/>
          <a:ext cx="2232660" cy="342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Week</a:t>
          </a:r>
          <a:endParaRPr lang="en-US" sz="1800" b="1">
            <a:solidFill>
              <a:schemeClr val="bg1"/>
            </a:solidFill>
            <a:effectLst/>
          </a:endParaRPr>
        </a:p>
      </xdr:txBody>
    </xdr:sp>
    <xdr:clientData/>
  </xdr:twoCellAnchor>
  <xdr:twoCellAnchor>
    <xdr:from>
      <xdr:col>18</xdr:col>
      <xdr:colOff>419100</xdr:colOff>
      <xdr:row>11</xdr:row>
      <xdr:rowOff>167640</xdr:rowOff>
    </xdr:from>
    <xdr:to>
      <xdr:col>22</xdr:col>
      <xdr:colOff>556260</xdr:colOff>
      <xdr:row>13</xdr:row>
      <xdr:rowOff>144772</xdr:rowOff>
    </xdr:to>
    <xdr:sp macro="" textlink="Analysis!I7">
      <xdr:nvSpPr>
        <xdr:cNvPr id="74" name="TextBox 73">
          <a:extLst>
            <a:ext uri="{FF2B5EF4-FFF2-40B4-BE49-F238E27FC236}">
              <a16:creationId xmlns:a16="http://schemas.microsoft.com/office/drawing/2014/main" id="{11865EC3-0A5D-4008-8165-1355A095719C}"/>
            </a:ext>
          </a:extLst>
        </xdr:cNvPr>
        <xdr:cNvSpPr txBox="1"/>
      </xdr:nvSpPr>
      <xdr:spPr>
        <a:xfrm>
          <a:off x="11391900" y="2179320"/>
          <a:ext cx="2575560" cy="342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TypeWeek</a:t>
          </a:r>
          <a:endParaRPr lang="en-US" sz="1800" b="1">
            <a:solidFill>
              <a:schemeClr val="bg1"/>
            </a:solidFill>
            <a:effectLst/>
          </a:endParaRPr>
        </a:p>
      </xdr:txBody>
    </xdr:sp>
    <xdr:clientData/>
  </xdr:twoCellAnchor>
  <xdr:twoCellAnchor>
    <xdr:from>
      <xdr:col>5</xdr:col>
      <xdr:colOff>320040</xdr:colOff>
      <xdr:row>20</xdr:row>
      <xdr:rowOff>0</xdr:rowOff>
    </xdr:from>
    <xdr:to>
      <xdr:col>9</xdr:col>
      <xdr:colOff>198120</xdr:colOff>
      <xdr:row>21</xdr:row>
      <xdr:rowOff>160012</xdr:rowOff>
    </xdr:to>
    <xdr:sp macro="" textlink="Analysis!I7">
      <xdr:nvSpPr>
        <xdr:cNvPr id="75" name="TextBox 74">
          <a:extLst>
            <a:ext uri="{FF2B5EF4-FFF2-40B4-BE49-F238E27FC236}">
              <a16:creationId xmlns:a16="http://schemas.microsoft.com/office/drawing/2014/main" id="{4C8ED9D8-D517-41F1-A437-F1BBBBE53FB8}"/>
            </a:ext>
          </a:extLst>
        </xdr:cNvPr>
        <xdr:cNvSpPr txBox="1"/>
      </xdr:nvSpPr>
      <xdr:spPr>
        <a:xfrm>
          <a:off x="3368040" y="3657600"/>
          <a:ext cx="2316480" cy="342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platform</a:t>
          </a:r>
          <a:endParaRPr lang="en-US" sz="1800" b="1">
            <a:solidFill>
              <a:schemeClr val="bg1"/>
            </a:solidFill>
            <a:effectLst/>
          </a:endParaRPr>
        </a:p>
      </xdr:txBody>
    </xdr:sp>
    <xdr:clientData/>
  </xdr:twoCellAnchor>
  <xdr:twoCellAnchor>
    <xdr:from>
      <xdr:col>11</xdr:col>
      <xdr:colOff>472440</xdr:colOff>
      <xdr:row>20</xdr:row>
      <xdr:rowOff>0</xdr:rowOff>
    </xdr:from>
    <xdr:to>
      <xdr:col>16</xdr:col>
      <xdr:colOff>251460</xdr:colOff>
      <xdr:row>21</xdr:row>
      <xdr:rowOff>160012</xdr:rowOff>
    </xdr:to>
    <xdr:sp macro="" textlink="Analysis!I7">
      <xdr:nvSpPr>
        <xdr:cNvPr id="76" name="TextBox 75">
          <a:extLst>
            <a:ext uri="{FF2B5EF4-FFF2-40B4-BE49-F238E27FC236}">
              <a16:creationId xmlns:a16="http://schemas.microsoft.com/office/drawing/2014/main" id="{EC195ED2-E7E6-43E1-90CB-1D2C614A38E0}"/>
            </a:ext>
          </a:extLst>
        </xdr:cNvPr>
        <xdr:cNvSpPr txBox="1"/>
      </xdr:nvSpPr>
      <xdr:spPr>
        <a:xfrm>
          <a:off x="7178040" y="3657600"/>
          <a:ext cx="2827020" cy="342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Governorates</a:t>
          </a:r>
          <a:endParaRPr lang="en-US" sz="1800" b="1">
            <a:solidFill>
              <a:schemeClr val="bg1"/>
            </a:solidFill>
            <a:effectLst/>
          </a:endParaRPr>
        </a:p>
      </xdr:txBody>
    </xdr:sp>
    <xdr:clientData/>
  </xdr:twoCellAnchor>
  <xdr:twoCellAnchor>
    <xdr:from>
      <xdr:col>18</xdr:col>
      <xdr:colOff>175260</xdr:colOff>
      <xdr:row>20</xdr:row>
      <xdr:rowOff>15240</xdr:rowOff>
    </xdr:from>
    <xdr:to>
      <xdr:col>22</xdr:col>
      <xdr:colOff>373380</xdr:colOff>
      <xdr:row>21</xdr:row>
      <xdr:rowOff>175252</xdr:rowOff>
    </xdr:to>
    <xdr:sp macro="" textlink="Analysis!I7">
      <xdr:nvSpPr>
        <xdr:cNvPr id="77" name="TextBox 76">
          <a:extLst>
            <a:ext uri="{FF2B5EF4-FFF2-40B4-BE49-F238E27FC236}">
              <a16:creationId xmlns:a16="http://schemas.microsoft.com/office/drawing/2014/main" id="{2459687B-8A4B-4CF6-8922-B834B3C39B82}"/>
            </a:ext>
          </a:extLst>
        </xdr:cNvPr>
        <xdr:cNvSpPr txBox="1"/>
      </xdr:nvSpPr>
      <xdr:spPr>
        <a:xfrm>
          <a:off x="11148060" y="3672840"/>
          <a:ext cx="2636520" cy="342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rPr>
            <a:t>Reveune</a:t>
          </a:r>
          <a:r>
            <a:rPr lang="en-US" sz="1800" b="1" baseline="0">
              <a:solidFill>
                <a:schemeClr val="bg1"/>
              </a:solidFill>
              <a:effectLst/>
            </a:rPr>
            <a:t> by Customers</a:t>
          </a:r>
          <a:endParaRPr lang="en-US" sz="1800" b="1">
            <a:solidFill>
              <a:schemeClr val="bg1"/>
            </a:solidFill>
            <a:effectLst/>
          </a:endParaRPr>
        </a:p>
      </xdr:txBody>
    </xdr:sp>
    <xdr:clientData/>
  </xdr:twoCellAnchor>
  <xdr:twoCellAnchor>
    <xdr:from>
      <xdr:col>4</xdr:col>
      <xdr:colOff>195941</xdr:colOff>
      <xdr:row>12</xdr:row>
      <xdr:rowOff>137161</xdr:rowOff>
    </xdr:from>
    <xdr:to>
      <xdr:col>4</xdr:col>
      <xdr:colOff>304800</xdr:colOff>
      <xdr:row>13</xdr:row>
      <xdr:rowOff>114301</xdr:rowOff>
    </xdr:to>
    <xdr:sp macro="" textlink="">
      <xdr:nvSpPr>
        <xdr:cNvPr id="78" name="Rectangle: Rounded Corners 77">
          <a:extLst>
            <a:ext uri="{FF2B5EF4-FFF2-40B4-BE49-F238E27FC236}">
              <a16:creationId xmlns:a16="http://schemas.microsoft.com/office/drawing/2014/main" id="{622B8583-8BD3-47CA-B96C-15D9CD79959F}"/>
            </a:ext>
          </a:extLst>
        </xdr:cNvPr>
        <xdr:cNvSpPr/>
      </xdr:nvSpPr>
      <xdr:spPr>
        <a:xfrm>
          <a:off x="2634341" y="2331721"/>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5</xdr:col>
      <xdr:colOff>340721</xdr:colOff>
      <xdr:row>20</xdr:row>
      <xdr:rowOff>99061</xdr:rowOff>
    </xdr:from>
    <xdr:to>
      <xdr:col>5</xdr:col>
      <xdr:colOff>449580</xdr:colOff>
      <xdr:row>21</xdr:row>
      <xdr:rowOff>76201</xdr:rowOff>
    </xdr:to>
    <xdr:sp macro="" textlink="">
      <xdr:nvSpPr>
        <xdr:cNvPr id="79" name="Rectangle: Rounded Corners 78">
          <a:extLst>
            <a:ext uri="{FF2B5EF4-FFF2-40B4-BE49-F238E27FC236}">
              <a16:creationId xmlns:a16="http://schemas.microsoft.com/office/drawing/2014/main" id="{06A42DD3-50F9-44C1-82B4-FF562704391F}"/>
            </a:ext>
          </a:extLst>
        </xdr:cNvPr>
        <xdr:cNvSpPr/>
      </xdr:nvSpPr>
      <xdr:spPr>
        <a:xfrm>
          <a:off x="3388721" y="3756661"/>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12</xdr:col>
      <xdr:colOff>434340</xdr:colOff>
      <xdr:row>12</xdr:row>
      <xdr:rowOff>114300</xdr:rowOff>
    </xdr:from>
    <xdr:to>
      <xdr:col>12</xdr:col>
      <xdr:colOff>543199</xdr:colOff>
      <xdr:row>13</xdr:row>
      <xdr:rowOff>91440</xdr:rowOff>
    </xdr:to>
    <xdr:sp macro="" textlink="">
      <xdr:nvSpPr>
        <xdr:cNvPr id="80" name="Rectangle: Rounded Corners 79">
          <a:extLst>
            <a:ext uri="{FF2B5EF4-FFF2-40B4-BE49-F238E27FC236}">
              <a16:creationId xmlns:a16="http://schemas.microsoft.com/office/drawing/2014/main" id="{1A5B16BC-953B-4B26-B861-25FC37934B21}"/>
            </a:ext>
          </a:extLst>
        </xdr:cNvPr>
        <xdr:cNvSpPr/>
      </xdr:nvSpPr>
      <xdr:spPr>
        <a:xfrm>
          <a:off x="7749540" y="2308860"/>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472440</xdr:colOff>
      <xdr:row>12</xdr:row>
      <xdr:rowOff>83820</xdr:rowOff>
    </xdr:from>
    <xdr:to>
      <xdr:col>18</xdr:col>
      <xdr:colOff>581299</xdr:colOff>
      <xdr:row>13</xdr:row>
      <xdr:rowOff>60960</xdr:rowOff>
    </xdr:to>
    <xdr:sp macro="" textlink="">
      <xdr:nvSpPr>
        <xdr:cNvPr id="81" name="Rectangle: Rounded Corners 80">
          <a:extLst>
            <a:ext uri="{FF2B5EF4-FFF2-40B4-BE49-F238E27FC236}">
              <a16:creationId xmlns:a16="http://schemas.microsoft.com/office/drawing/2014/main" id="{1BBE9B43-0D6A-41AD-A891-F789CABD1D99}"/>
            </a:ext>
          </a:extLst>
        </xdr:cNvPr>
        <xdr:cNvSpPr/>
      </xdr:nvSpPr>
      <xdr:spPr>
        <a:xfrm>
          <a:off x="11445240" y="2278380"/>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259080</xdr:colOff>
      <xdr:row>20</xdr:row>
      <xdr:rowOff>121920</xdr:rowOff>
    </xdr:from>
    <xdr:to>
      <xdr:col>18</xdr:col>
      <xdr:colOff>367939</xdr:colOff>
      <xdr:row>21</xdr:row>
      <xdr:rowOff>99060</xdr:rowOff>
    </xdr:to>
    <xdr:sp macro="" textlink="">
      <xdr:nvSpPr>
        <xdr:cNvPr id="82" name="Rectangle: Rounded Corners 81">
          <a:extLst>
            <a:ext uri="{FF2B5EF4-FFF2-40B4-BE49-F238E27FC236}">
              <a16:creationId xmlns:a16="http://schemas.microsoft.com/office/drawing/2014/main" id="{1D3DFFDD-109A-4D3F-88F0-8707F2B08CD4}"/>
            </a:ext>
          </a:extLst>
        </xdr:cNvPr>
        <xdr:cNvSpPr/>
      </xdr:nvSpPr>
      <xdr:spPr>
        <a:xfrm>
          <a:off x="11231880" y="3779520"/>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11</xdr:col>
      <xdr:colOff>485501</xdr:colOff>
      <xdr:row>20</xdr:row>
      <xdr:rowOff>99061</xdr:rowOff>
    </xdr:from>
    <xdr:to>
      <xdr:col>11</xdr:col>
      <xdr:colOff>594360</xdr:colOff>
      <xdr:row>21</xdr:row>
      <xdr:rowOff>76201</xdr:rowOff>
    </xdr:to>
    <xdr:sp macro="" textlink="">
      <xdr:nvSpPr>
        <xdr:cNvPr id="83" name="Rectangle: Rounded Corners 82">
          <a:extLst>
            <a:ext uri="{FF2B5EF4-FFF2-40B4-BE49-F238E27FC236}">
              <a16:creationId xmlns:a16="http://schemas.microsoft.com/office/drawing/2014/main" id="{F6DF732C-6A4C-466C-9643-1071DCD7EEBF}"/>
            </a:ext>
          </a:extLst>
        </xdr:cNvPr>
        <xdr:cNvSpPr/>
      </xdr:nvSpPr>
      <xdr:spPr>
        <a:xfrm>
          <a:off x="7191101" y="3756661"/>
          <a:ext cx="108859" cy="160020"/>
        </a:xfrm>
        <a:prstGeom prst="roundRect">
          <a:avLst/>
        </a:prstGeom>
        <a:blipFill>
          <a:blip xmlns:r="http://schemas.openxmlformats.org/officeDocument/2006/relationships" r:embed="rId8"/>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335280</xdr:colOff>
      <xdr:row>13</xdr:row>
      <xdr:rowOff>167640</xdr:rowOff>
    </xdr:from>
    <xdr:to>
      <xdr:col>7</xdr:col>
      <xdr:colOff>365760</xdr:colOff>
      <xdr:row>13</xdr:row>
      <xdr:rowOff>167640</xdr:rowOff>
    </xdr:to>
    <xdr:cxnSp macro="">
      <xdr:nvCxnSpPr>
        <xdr:cNvPr id="84" name="Straight Connector 83">
          <a:extLst>
            <a:ext uri="{FF2B5EF4-FFF2-40B4-BE49-F238E27FC236}">
              <a16:creationId xmlns:a16="http://schemas.microsoft.com/office/drawing/2014/main" id="{99C75721-FF5E-40E1-A398-76B2AAEA01CA}"/>
            </a:ext>
          </a:extLst>
        </xdr:cNvPr>
        <xdr:cNvCxnSpPr/>
      </xdr:nvCxnSpPr>
      <xdr:spPr>
        <a:xfrm>
          <a:off x="2773680" y="2545080"/>
          <a:ext cx="1859280" cy="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556260</xdr:colOff>
      <xdr:row>13</xdr:row>
      <xdr:rowOff>144780</xdr:rowOff>
    </xdr:from>
    <xdr:to>
      <xdr:col>15</xdr:col>
      <xdr:colOff>586740</xdr:colOff>
      <xdr:row>13</xdr:row>
      <xdr:rowOff>144780</xdr:rowOff>
    </xdr:to>
    <xdr:cxnSp macro="">
      <xdr:nvCxnSpPr>
        <xdr:cNvPr id="86" name="Straight Connector 85">
          <a:extLst>
            <a:ext uri="{FF2B5EF4-FFF2-40B4-BE49-F238E27FC236}">
              <a16:creationId xmlns:a16="http://schemas.microsoft.com/office/drawing/2014/main" id="{F6336570-CBB0-4847-99D1-B1665B98A033}"/>
            </a:ext>
          </a:extLst>
        </xdr:cNvPr>
        <xdr:cNvCxnSpPr/>
      </xdr:nvCxnSpPr>
      <xdr:spPr>
        <a:xfrm>
          <a:off x="7871460" y="2522220"/>
          <a:ext cx="1859280" cy="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7620</xdr:colOff>
      <xdr:row>13</xdr:row>
      <xdr:rowOff>114300</xdr:rowOff>
    </xdr:from>
    <xdr:to>
      <xdr:col>22</xdr:col>
      <xdr:colOff>381000</xdr:colOff>
      <xdr:row>13</xdr:row>
      <xdr:rowOff>121920</xdr:rowOff>
    </xdr:to>
    <xdr:cxnSp macro="">
      <xdr:nvCxnSpPr>
        <xdr:cNvPr id="87" name="Straight Connector 86">
          <a:extLst>
            <a:ext uri="{FF2B5EF4-FFF2-40B4-BE49-F238E27FC236}">
              <a16:creationId xmlns:a16="http://schemas.microsoft.com/office/drawing/2014/main" id="{6E6AA3A7-1716-4B6D-A650-E7FE69DC7D57}"/>
            </a:ext>
          </a:extLst>
        </xdr:cNvPr>
        <xdr:cNvCxnSpPr/>
      </xdr:nvCxnSpPr>
      <xdr:spPr>
        <a:xfrm>
          <a:off x="11590020" y="2491740"/>
          <a:ext cx="22021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388620</xdr:colOff>
      <xdr:row>21</xdr:row>
      <xdr:rowOff>167640</xdr:rowOff>
    </xdr:from>
    <xdr:to>
      <xdr:col>22</xdr:col>
      <xdr:colOff>152400</xdr:colOff>
      <xdr:row>21</xdr:row>
      <xdr:rowOff>175260</xdr:rowOff>
    </xdr:to>
    <xdr:cxnSp macro="">
      <xdr:nvCxnSpPr>
        <xdr:cNvPr id="89" name="Straight Connector 88">
          <a:extLst>
            <a:ext uri="{FF2B5EF4-FFF2-40B4-BE49-F238E27FC236}">
              <a16:creationId xmlns:a16="http://schemas.microsoft.com/office/drawing/2014/main" id="{01F5580F-75E7-4546-9C85-1F54BBB670B5}"/>
            </a:ext>
          </a:extLst>
        </xdr:cNvPr>
        <xdr:cNvCxnSpPr/>
      </xdr:nvCxnSpPr>
      <xdr:spPr>
        <a:xfrm>
          <a:off x="11361420" y="4008120"/>
          <a:ext cx="22021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22860</xdr:colOff>
      <xdr:row>21</xdr:row>
      <xdr:rowOff>152400</xdr:rowOff>
    </xdr:from>
    <xdr:to>
      <xdr:col>16</xdr:col>
      <xdr:colOff>91440</xdr:colOff>
      <xdr:row>21</xdr:row>
      <xdr:rowOff>160020</xdr:rowOff>
    </xdr:to>
    <xdr:cxnSp macro="">
      <xdr:nvCxnSpPr>
        <xdr:cNvPr id="92" name="Straight Connector 91">
          <a:extLst>
            <a:ext uri="{FF2B5EF4-FFF2-40B4-BE49-F238E27FC236}">
              <a16:creationId xmlns:a16="http://schemas.microsoft.com/office/drawing/2014/main" id="{76FF944B-E543-4E6E-B482-36CB8250552B}"/>
            </a:ext>
          </a:extLst>
        </xdr:cNvPr>
        <xdr:cNvCxnSpPr/>
      </xdr:nvCxnSpPr>
      <xdr:spPr>
        <a:xfrm>
          <a:off x="7338060" y="3992880"/>
          <a:ext cx="25069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335280</xdr:colOff>
      <xdr:row>21</xdr:row>
      <xdr:rowOff>114300</xdr:rowOff>
    </xdr:from>
    <xdr:to>
      <xdr:col>9</xdr:col>
      <xdr:colOff>91440</xdr:colOff>
      <xdr:row>21</xdr:row>
      <xdr:rowOff>114300</xdr:rowOff>
    </xdr:to>
    <xdr:cxnSp macro="">
      <xdr:nvCxnSpPr>
        <xdr:cNvPr id="94" name="Straight Connector 93">
          <a:extLst>
            <a:ext uri="{FF2B5EF4-FFF2-40B4-BE49-F238E27FC236}">
              <a16:creationId xmlns:a16="http://schemas.microsoft.com/office/drawing/2014/main" id="{874C66EC-E662-4B56-ABEA-9C09D2A8A009}"/>
            </a:ext>
          </a:extLst>
        </xdr:cNvPr>
        <xdr:cNvCxnSpPr/>
      </xdr:nvCxnSpPr>
      <xdr:spPr>
        <a:xfrm>
          <a:off x="3383280" y="3954780"/>
          <a:ext cx="2194560" cy="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53340</xdr:colOff>
      <xdr:row>9</xdr:row>
      <xdr:rowOff>53341</xdr:rowOff>
    </xdr:from>
    <xdr:to>
      <xdr:col>4</xdr:col>
      <xdr:colOff>38100</xdr:colOff>
      <xdr:row>14</xdr:row>
      <xdr:rowOff>53340</xdr:rowOff>
    </xdr:to>
    <mc:AlternateContent xmlns:mc="http://schemas.openxmlformats.org/markup-compatibility/2006" xmlns:a14="http://schemas.microsoft.com/office/drawing/2010/main">
      <mc:Choice Requires="a14">
        <xdr:graphicFrame macro="">
          <xdr:nvGraphicFramePr>
            <xdr:cNvPr id="98" name="Month Name">
              <a:extLst>
                <a:ext uri="{FF2B5EF4-FFF2-40B4-BE49-F238E27FC236}">
                  <a16:creationId xmlns:a16="http://schemas.microsoft.com/office/drawing/2014/main" id="{1F3E1F11-EB93-2318-B51F-6F7849A36A2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53340" y="1699261"/>
              <a:ext cx="242316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26</xdr:row>
      <xdr:rowOff>53341</xdr:rowOff>
    </xdr:from>
    <xdr:to>
      <xdr:col>3</xdr:col>
      <xdr:colOff>60960</xdr:colOff>
      <xdr:row>30</xdr:row>
      <xdr:rowOff>0</xdr:rowOff>
    </xdr:to>
    <mc:AlternateContent xmlns:mc="http://schemas.openxmlformats.org/markup-compatibility/2006" xmlns:a14="http://schemas.microsoft.com/office/drawing/2010/main">
      <mc:Choice Requires="a14">
        <xdr:graphicFrame macro="">
          <xdr:nvGraphicFramePr>
            <xdr:cNvPr id="100" name="اتسلم؟">
              <a:extLst>
                <a:ext uri="{FF2B5EF4-FFF2-40B4-BE49-F238E27FC236}">
                  <a16:creationId xmlns:a16="http://schemas.microsoft.com/office/drawing/2014/main" id="{9813B2AA-29B5-19CE-1A3A-32107F7852D0}"/>
                </a:ext>
              </a:extLst>
            </xdr:cNvPr>
            <xdr:cNvGraphicFramePr/>
          </xdr:nvGraphicFramePr>
          <xdr:xfrm>
            <a:off x="0" y="0"/>
            <a:ext cx="0" cy="0"/>
          </xdr:xfrm>
          <a:graphic>
            <a:graphicData uri="http://schemas.microsoft.com/office/drawing/2010/slicer">
              <sle:slicer xmlns:sle="http://schemas.microsoft.com/office/drawing/2010/slicer" name="اتسلم؟"/>
            </a:graphicData>
          </a:graphic>
        </xdr:graphicFrame>
      </mc:Choice>
      <mc:Fallback xmlns="">
        <xdr:sp macro="" textlink="">
          <xdr:nvSpPr>
            <xdr:cNvPr id="0" name=""/>
            <xdr:cNvSpPr>
              <a:spLocks noTextEdit="1"/>
            </xdr:cNvSpPr>
          </xdr:nvSpPr>
          <xdr:spPr>
            <a:xfrm>
              <a:off x="60960" y="4808221"/>
              <a:ext cx="1828800" cy="678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19</xdr:row>
      <xdr:rowOff>38101</xdr:rowOff>
    </xdr:from>
    <xdr:to>
      <xdr:col>4</xdr:col>
      <xdr:colOff>38100</xdr:colOff>
      <xdr:row>22</xdr:row>
      <xdr:rowOff>129540</xdr:rowOff>
    </xdr:to>
    <mc:AlternateContent xmlns:mc="http://schemas.openxmlformats.org/markup-compatibility/2006" xmlns:a14="http://schemas.microsoft.com/office/drawing/2010/main">
      <mc:Choice Requires="a14">
        <xdr:graphicFrame macro="">
          <xdr:nvGraphicFramePr>
            <xdr:cNvPr id="103" name="الحالة">
              <a:extLst>
                <a:ext uri="{FF2B5EF4-FFF2-40B4-BE49-F238E27FC236}">
                  <a16:creationId xmlns:a16="http://schemas.microsoft.com/office/drawing/2014/main" id="{C03416CF-C63B-CF24-54EB-3160452B14E0}"/>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60960" y="3512821"/>
              <a:ext cx="241554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14</xdr:row>
      <xdr:rowOff>45720</xdr:rowOff>
    </xdr:from>
    <xdr:to>
      <xdr:col>4</xdr:col>
      <xdr:colOff>45720</xdr:colOff>
      <xdr:row>19</xdr:row>
      <xdr:rowOff>38100</xdr:rowOff>
    </xdr:to>
    <mc:AlternateContent xmlns:mc="http://schemas.openxmlformats.org/markup-compatibility/2006" xmlns:a14="http://schemas.microsoft.com/office/drawing/2010/main">
      <mc:Choice Requires="a14">
        <xdr:graphicFrame macro="">
          <xdr:nvGraphicFramePr>
            <xdr:cNvPr id="104" name="الصنف">
              <a:extLst>
                <a:ext uri="{FF2B5EF4-FFF2-40B4-BE49-F238E27FC236}">
                  <a16:creationId xmlns:a16="http://schemas.microsoft.com/office/drawing/2014/main" id="{3FAB99A1-2BBD-CD82-59C3-632025DB5AA9}"/>
                </a:ext>
              </a:extLst>
            </xdr:cNvPr>
            <xdr:cNvGraphicFramePr/>
          </xdr:nvGraphicFramePr>
          <xdr:xfrm>
            <a:off x="0" y="0"/>
            <a:ext cx="0" cy="0"/>
          </xdr:xfrm>
          <a:graphic>
            <a:graphicData uri="http://schemas.microsoft.com/office/drawing/2010/slicer">
              <sle:slicer xmlns:sle="http://schemas.microsoft.com/office/drawing/2010/slicer" name="الصنف"/>
            </a:graphicData>
          </a:graphic>
        </xdr:graphicFrame>
      </mc:Choice>
      <mc:Fallback xmlns="">
        <xdr:sp macro="" textlink="">
          <xdr:nvSpPr>
            <xdr:cNvPr id="0" name=""/>
            <xdr:cNvSpPr>
              <a:spLocks noTextEdit="1"/>
            </xdr:cNvSpPr>
          </xdr:nvSpPr>
          <xdr:spPr>
            <a:xfrm>
              <a:off x="60960" y="2606040"/>
              <a:ext cx="242316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22</xdr:row>
      <xdr:rowOff>129541</xdr:rowOff>
    </xdr:from>
    <xdr:to>
      <xdr:col>3</xdr:col>
      <xdr:colOff>60960</xdr:colOff>
      <xdr:row>26</xdr:row>
      <xdr:rowOff>53340</xdr:rowOff>
    </xdr:to>
    <mc:AlternateContent xmlns:mc="http://schemas.openxmlformats.org/markup-compatibility/2006" xmlns:a14="http://schemas.microsoft.com/office/drawing/2010/main">
      <mc:Choice Requires="a14">
        <xdr:graphicFrame macro="">
          <xdr:nvGraphicFramePr>
            <xdr:cNvPr id="110" name="نوع العميل">
              <a:extLst>
                <a:ext uri="{FF2B5EF4-FFF2-40B4-BE49-F238E27FC236}">
                  <a16:creationId xmlns:a16="http://schemas.microsoft.com/office/drawing/2014/main" id="{C1B5CB72-358B-363A-80FF-A81936EA2EA5}"/>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60960" y="4152901"/>
              <a:ext cx="18288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129540</xdr:rowOff>
    </xdr:from>
    <xdr:to>
      <xdr:col>4</xdr:col>
      <xdr:colOff>114300</xdr:colOff>
      <xdr:row>31</xdr:row>
      <xdr:rowOff>0</xdr:rowOff>
    </xdr:to>
    <xdr:sp macro="" textlink="">
      <xdr:nvSpPr>
        <xdr:cNvPr id="2" name="Rectangle: Rounded Corners 1">
          <a:extLst>
            <a:ext uri="{FF2B5EF4-FFF2-40B4-BE49-F238E27FC236}">
              <a16:creationId xmlns:a16="http://schemas.microsoft.com/office/drawing/2014/main" id="{C496554E-2F6A-4D83-9814-F878BE20E6D0}"/>
            </a:ext>
          </a:extLst>
        </xdr:cNvPr>
        <xdr:cNvSpPr/>
      </xdr:nvSpPr>
      <xdr:spPr>
        <a:xfrm>
          <a:off x="114300" y="129540"/>
          <a:ext cx="2438400" cy="5539740"/>
        </a:xfrm>
        <a:prstGeom prst="roundRect">
          <a:avLst>
            <a:gd name="adj" fmla="val 4167"/>
          </a:avLst>
        </a:prstGeom>
        <a:gradFill>
          <a:gsLst>
            <a:gs pos="0">
              <a:srgbClr val="192E59"/>
            </a:gs>
            <a:gs pos="14000">
              <a:srgbClr val="192E59"/>
            </a:gs>
            <a:gs pos="70000">
              <a:srgbClr val="C00000"/>
            </a:gs>
            <a:gs pos="100000">
              <a:srgbClr val="192E59"/>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0</xdr:col>
      <xdr:colOff>190500</xdr:colOff>
      <xdr:row>0</xdr:row>
      <xdr:rowOff>155863</xdr:rowOff>
    </xdr:from>
    <xdr:to>
      <xdr:col>3</xdr:col>
      <xdr:colOff>493369</xdr:colOff>
      <xdr:row>9</xdr:row>
      <xdr:rowOff>15240</xdr:rowOff>
    </xdr:to>
    <xdr:sp macro="" textlink="">
      <xdr:nvSpPr>
        <xdr:cNvPr id="3" name="Oval 2">
          <a:extLst>
            <a:ext uri="{FF2B5EF4-FFF2-40B4-BE49-F238E27FC236}">
              <a16:creationId xmlns:a16="http://schemas.microsoft.com/office/drawing/2014/main" id="{DBF50E0B-3AAE-467C-823B-8F9563D5554F}"/>
            </a:ext>
          </a:extLst>
        </xdr:cNvPr>
        <xdr:cNvSpPr/>
      </xdr:nvSpPr>
      <xdr:spPr>
        <a:xfrm>
          <a:off x="190500" y="155863"/>
          <a:ext cx="2131669" cy="1505297"/>
        </a:xfrm>
        <a:prstGeom prst="ellipse">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167640</xdr:colOff>
      <xdr:row>0</xdr:row>
      <xdr:rowOff>154577</xdr:rowOff>
    </xdr:from>
    <xdr:to>
      <xdr:col>23</xdr:col>
      <xdr:colOff>121919</xdr:colOff>
      <xdr:row>5</xdr:row>
      <xdr:rowOff>45721</xdr:rowOff>
    </xdr:to>
    <xdr:sp macro="" textlink="">
      <xdr:nvSpPr>
        <xdr:cNvPr id="4" name="Rectangle: Rounded Corners 3">
          <a:extLst>
            <a:ext uri="{FF2B5EF4-FFF2-40B4-BE49-F238E27FC236}">
              <a16:creationId xmlns:a16="http://schemas.microsoft.com/office/drawing/2014/main" id="{4D82FF9C-08D3-452A-A84E-1056E65E3549}"/>
            </a:ext>
          </a:extLst>
        </xdr:cNvPr>
        <xdr:cNvSpPr/>
      </xdr:nvSpPr>
      <xdr:spPr>
        <a:xfrm>
          <a:off x="2606040" y="154577"/>
          <a:ext cx="11536679" cy="805544"/>
        </a:xfrm>
        <a:prstGeom prst="roundRect">
          <a:avLst/>
        </a:prstGeom>
        <a:gradFill>
          <a:gsLst>
            <a:gs pos="0">
              <a:srgbClr val="192E59"/>
            </a:gs>
            <a:gs pos="14000">
              <a:srgbClr val="192E59"/>
            </a:gs>
            <a:gs pos="70000">
              <a:srgbClr val="C00000"/>
            </a:gs>
            <a:gs pos="100000">
              <a:srgbClr val="192E59"/>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7</xdr:col>
      <xdr:colOff>373427</xdr:colOff>
      <xdr:row>1</xdr:row>
      <xdr:rowOff>114300</xdr:rowOff>
    </xdr:from>
    <xdr:to>
      <xdr:col>18</xdr:col>
      <xdr:colOff>227751</xdr:colOff>
      <xdr:row>4</xdr:row>
      <xdr:rowOff>53332</xdr:rowOff>
    </xdr:to>
    <xdr:sp macro="" textlink="">
      <xdr:nvSpPr>
        <xdr:cNvPr id="5" name="TextBox 4">
          <a:extLst>
            <a:ext uri="{FF2B5EF4-FFF2-40B4-BE49-F238E27FC236}">
              <a16:creationId xmlns:a16="http://schemas.microsoft.com/office/drawing/2014/main" id="{478BFD52-601E-4098-A9F9-B9C0F1DE9A00}"/>
            </a:ext>
          </a:extLst>
        </xdr:cNvPr>
        <xdr:cNvSpPr txBox="1"/>
      </xdr:nvSpPr>
      <xdr:spPr>
        <a:xfrm>
          <a:off x="4640627" y="297180"/>
          <a:ext cx="6559924"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rgbClr val="F2F2F2"/>
              </a:solidFill>
              <a:effectLst/>
              <a:latin typeface="+mn-lt"/>
              <a:ea typeface="+mn-ea"/>
              <a:cs typeface="+mn-cs"/>
            </a:rPr>
            <a:t>MISUO Dashboard</a:t>
          </a:r>
          <a:endParaRPr lang="en-US" sz="4000" b="1">
            <a:solidFill>
              <a:srgbClr val="F2F2F2"/>
            </a:solidFill>
            <a:effectLst/>
          </a:endParaRPr>
        </a:p>
      </xdr:txBody>
    </xdr:sp>
    <xdr:clientData/>
  </xdr:twoCellAnchor>
  <xdr:twoCellAnchor>
    <xdr:from>
      <xdr:col>4</xdr:col>
      <xdr:colOff>167641</xdr:colOff>
      <xdr:row>5</xdr:row>
      <xdr:rowOff>99060</xdr:rowOff>
    </xdr:from>
    <xdr:to>
      <xdr:col>8</xdr:col>
      <xdr:colOff>541021</xdr:colOff>
      <xdr:row>12</xdr:row>
      <xdr:rowOff>16327</xdr:rowOff>
    </xdr:to>
    <xdr:sp macro="" textlink="">
      <xdr:nvSpPr>
        <xdr:cNvPr id="6" name="Rectangle: Rounded Corners 5">
          <a:extLst>
            <a:ext uri="{FF2B5EF4-FFF2-40B4-BE49-F238E27FC236}">
              <a16:creationId xmlns:a16="http://schemas.microsoft.com/office/drawing/2014/main" id="{FF345EFB-0132-4124-A248-BEBBC6CBE3F1}"/>
            </a:ext>
          </a:extLst>
        </xdr:cNvPr>
        <xdr:cNvSpPr/>
      </xdr:nvSpPr>
      <xdr:spPr>
        <a:xfrm>
          <a:off x="2606041" y="1013460"/>
          <a:ext cx="2811780"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178526</xdr:colOff>
      <xdr:row>20</xdr:row>
      <xdr:rowOff>68580</xdr:rowOff>
    </xdr:from>
    <xdr:to>
      <xdr:col>10</xdr:col>
      <xdr:colOff>457200</xdr:colOff>
      <xdr:row>30</xdr:row>
      <xdr:rowOff>160020</xdr:rowOff>
    </xdr:to>
    <xdr:sp macro="" textlink="">
      <xdr:nvSpPr>
        <xdr:cNvPr id="7" name="Rectangle: Rounded Corners 6">
          <a:extLst>
            <a:ext uri="{FF2B5EF4-FFF2-40B4-BE49-F238E27FC236}">
              <a16:creationId xmlns:a16="http://schemas.microsoft.com/office/drawing/2014/main" id="{79502615-99C8-4E61-97FA-86D4B9F6740E}"/>
            </a:ext>
          </a:extLst>
        </xdr:cNvPr>
        <xdr:cNvSpPr/>
      </xdr:nvSpPr>
      <xdr:spPr>
        <a:xfrm>
          <a:off x="2616926" y="3726180"/>
          <a:ext cx="3936274" cy="1920240"/>
        </a:xfrm>
        <a:prstGeom prst="roundRect">
          <a:avLst>
            <a:gd name="adj" fmla="val 6350"/>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99060</xdr:colOff>
      <xdr:row>5</xdr:row>
      <xdr:rowOff>121920</xdr:rowOff>
    </xdr:from>
    <xdr:to>
      <xdr:col>8</xdr:col>
      <xdr:colOff>114300</xdr:colOff>
      <xdr:row>7</xdr:row>
      <xdr:rowOff>121912</xdr:rowOff>
    </xdr:to>
    <xdr:sp macro="" textlink="Analysis!I7">
      <xdr:nvSpPr>
        <xdr:cNvPr id="8" name="TextBox 7">
          <a:extLst>
            <a:ext uri="{FF2B5EF4-FFF2-40B4-BE49-F238E27FC236}">
              <a16:creationId xmlns:a16="http://schemas.microsoft.com/office/drawing/2014/main" id="{1679C622-9BD6-46C4-B8D2-0B97475EDE79}"/>
            </a:ext>
          </a:extLst>
        </xdr:cNvPr>
        <xdr:cNvSpPr txBox="1"/>
      </xdr:nvSpPr>
      <xdr:spPr>
        <a:xfrm>
          <a:off x="2537460" y="1036320"/>
          <a:ext cx="2453640" cy="36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Count</a:t>
          </a:r>
          <a:r>
            <a:rPr lang="en-US" sz="1600" b="1" baseline="0">
              <a:solidFill>
                <a:schemeClr val="bg1"/>
              </a:solidFill>
              <a:effectLst/>
            </a:rPr>
            <a:t> Comany &amp; people</a:t>
          </a:r>
          <a:endParaRPr lang="en-US" sz="1600" b="1">
            <a:solidFill>
              <a:schemeClr val="bg1"/>
            </a:solidFill>
            <a:effectLst/>
          </a:endParaRPr>
        </a:p>
      </xdr:txBody>
    </xdr:sp>
    <xdr:clientData/>
  </xdr:twoCellAnchor>
  <xdr:twoCellAnchor>
    <xdr:from>
      <xdr:col>6</xdr:col>
      <xdr:colOff>152447</xdr:colOff>
      <xdr:row>7</xdr:row>
      <xdr:rowOff>129540</xdr:rowOff>
    </xdr:from>
    <xdr:to>
      <xdr:col>8</xdr:col>
      <xdr:colOff>281940</xdr:colOff>
      <xdr:row>9</xdr:row>
      <xdr:rowOff>99052</xdr:rowOff>
    </xdr:to>
    <xdr:sp macro="" textlink="Analysis!J7">
      <xdr:nvSpPr>
        <xdr:cNvPr id="9" name="TextBox 8">
          <a:extLst>
            <a:ext uri="{FF2B5EF4-FFF2-40B4-BE49-F238E27FC236}">
              <a16:creationId xmlns:a16="http://schemas.microsoft.com/office/drawing/2014/main" id="{8AA3B502-1728-40E8-A3C6-4DD9DF9B9EF6}"/>
            </a:ext>
          </a:extLst>
        </xdr:cNvPr>
        <xdr:cNvSpPr txBox="1"/>
      </xdr:nvSpPr>
      <xdr:spPr>
        <a:xfrm>
          <a:off x="3810047" y="1409700"/>
          <a:ext cx="1348693" cy="335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Companies</a:t>
          </a:r>
        </a:p>
      </xdr:txBody>
    </xdr:sp>
    <xdr:clientData/>
  </xdr:twoCellAnchor>
  <xdr:twoCellAnchor>
    <xdr:from>
      <xdr:col>7</xdr:col>
      <xdr:colOff>457247</xdr:colOff>
      <xdr:row>5</xdr:row>
      <xdr:rowOff>121920</xdr:rowOff>
    </xdr:from>
    <xdr:to>
      <xdr:col>9</xdr:col>
      <xdr:colOff>53340</xdr:colOff>
      <xdr:row>7</xdr:row>
      <xdr:rowOff>129540</xdr:rowOff>
    </xdr:to>
    <xdr:sp macro="" textlink="Analysis!CW12">
      <xdr:nvSpPr>
        <xdr:cNvPr id="10" name="TextBox 9">
          <a:extLst>
            <a:ext uri="{FF2B5EF4-FFF2-40B4-BE49-F238E27FC236}">
              <a16:creationId xmlns:a16="http://schemas.microsoft.com/office/drawing/2014/main" id="{6BAA73E3-4529-41DC-B50C-F1806139D636}"/>
            </a:ext>
          </a:extLst>
        </xdr:cNvPr>
        <xdr:cNvSpPr txBox="1"/>
      </xdr:nvSpPr>
      <xdr:spPr>
        <a:xfrm>
          <a:off x="4724447" y="1036320"/>
          <a:ext cx="81529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E6A84BF-81EE-4D78-9737-9C0DEC218BCB}"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126</a:t>
          </a:fld>
          <a:endParaRPr lang="en-US" sz="4800" b="1">
            <a:solidFill>
              <a:schemeClr val="bg1"/>
            </a:solidFill>
            <a:effectLst/>
          </a:endParaRPr>
        </a:p>
      </xdr:txBody>
    </xdr:sp>
    <xdr:clientData/>
  </xdr:twoCellAnchor>
  <xdr:twoCellAnchor>
    <xdr:from>
      <xdr:col>4</xdr:col>
      <xdr:colOff>297227</xdr:colOff>
      <xdr:row>7</xdr:row>
      <xdr:rowOff>160020</xdr:rowOff>
    </xdr:from>
    <xdr:to>
      <xdr:col>6</xdr:col>
      <xdr:colOff>243840</xdr:colOff>
      <xdr:row>9</xdr:row>
      <xdr:rowOff>106680</xdr:rowOff>
    </xdr:to>
    <xdr:sp macro="" textlink="Analysis!CV17">
      <xdr:nvSpPr>
        <xdr:cNvPr id="11" name="TextBox 10">
          <a:extLst>
            <a:ext uri="{FF2B5EF4-FFF2-40B4-BE49-F238E27FC236}">
              <a16:creationId xmlns:a16="http://schemas.microsoft.com/office/drawing/2014/main" id="{1124D4B5-F310-4A84-B0AD-58E577734371}"/>
            </a:ext>
          </a:extLst>
        </xdr:cNvPr>
        <xdr:cNvSpPr txBox="1"/>
      </xdr:nvSpPr>
      <xdr:spPr>
        <a:xfrm>
          <a:off x="2735627" y="1440180"/>
          <a:ext cx="1165813"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461587A-4C2D-4BD4-B236-4A2E2CC2F170}"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35</a:t>
          </a:fld>
          <a:endParaRPr lang="en-US" sz="6600" b="1">
            <a:solidFill>
              <a:schemeClr val="bg1"/>
            </a:solidFill>
            <a:effectLst/>
          </a:endParaRPr>
        </a:p>
      </xdr:txBody>
    </xdr:sp>
    <xdr:clientData/>
  </xdr:twoCellAnchor>
  <xdr:twoCellAnchor>
    <xdr:from>
      <xdr:col>6</xdr:col>
      <xdr:colOff>266747</xdr:colOff>
      <xdr:row>9</xdr:row>
      <xdr:rowOff>175260</xdr:rowOff>
    </xdr:from>
    <xdr:to>
      <xdr:col>8</xdr:col>
      <xdr:colOff>213360</xdr:colOff>
      <xdr:row>12</xdr:row>
      <xdr:rowOff>0</xdr:rowOff>
    </xdr:to>
    <xdr:sp macro="" textlink="Analysis!CV16">
      <xdr:nvSpPr>
        <xdr:cNvPr id="12" name="TextBox 11">
          <a:extLst>
            <a:ext uri="{FF2B5EF4-FFF2-40B4-BE49-F238E27FC236}">
              <a16:creationId xmlns:a16="http://schemas.microsoft.com/office/drawing/2014/main" id="{6AADAFD3-9A57-4230-912E-0FDEF39C0EC6}"/>
            </a:ext>
          </a:extLst>
        </xdr:cNvPr>
        <xdr:cNvSpPr txBox="1"/>
      </xdr:nvSpPr>
      <xdr:spPr>
        <a:xfrm>
          <a:off x="3924347" y="182118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0BD6F6C-6600-4324-BF85-9EFA930144C5}"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91</a:t>
          </a:fld>
          <a:endParaRPr lang="en-US" sz="6600" b="1">
            <a:solidFill>
              <a:schemeClr val="bg1"/>
            </a:solidFill>
            <a:effectLst/>
          </a:endParaRPr>
        </a:p>
      </xdr:txBody>
    </xdr:sp>
    <xdr:clientData/>
  </xdr:twoCellAnchor>
  <xdr:twoCellAnchor>
    <xdr:from>
      <xdr:col>4</xdr:col>
      <xdr:colOff>426720</xdr:colOff>
      <xdr:row>9</xdr:row>
      <xdr:rowOff>167640</xdr:rowOff>
    </xdr:from>
    <xdr:to>
      <xdr:col>6</xdr:col>
      <xdr:colOff>289560</xdr:colOff>
      <xdr:row>11</xdr:row>
      <xdr:rowOff>175260</xdr:rowOff>
    </xdr:to>
    <xdr:sp macro="" textlink="">
      <xdr:nvSpPr>
        <xdr:cNvPr id="13" name="TextBox 12">
          <a:extLst>
            <a:ext uri="{FF2B5EF4-FFF2-40B4-BE49-F238E27FC236}">
              <a16:creationId xmlns:a16="http://schemas.microsoft.com/office/drawing/2014/main" id="{036BB75B-7314-4420-B38A-66314697F0E1}"/>
            </a:ext>
          </a:extLst>
        </xdr:cNvPr>
        <xdr:cNvSpPr txBox="1"/>
      </xdr:nvSpPr>
      <xdr:spPr>
        <a:xfrm>
          <a:off x="2865120" y="1813560"/>
          <a:ext cx="10820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effectLst/>
              <a:latin typeface="Calibri"/>
              <a:ea typeface="Calibri"/>
              <a:cs typeface="Calibri"/>
            </a:rPr>
            <a:t>Peoples</a:t>
          </a:r>
        </a:p>
      </xdr:txBody>
    </xdr:sp>
    <xdr:clientData/>
  </xdr:twoCellAnchor>
  <xdr:twoCellAnchor>
    <xdr:from>
      <xdr:col>4</xdr:col>
      <xdr:colOff>304800</xdr:colOff>
      <xdr:row>7</xdr:row>
      <xdr:rowOff>129540</xdr:rowOff>
    </xdr:from>
    <xdr:to>
      <xdr:col>8</xdr:col>
      <xdr:colOff>472440</xdr:colOff>
      <xdr:row>7</xdr:row>
      <xdr:rowOff>137160</xdr:rowOff>
    </xdr:to>
    <xdr:cxnSp macro="">
      <xdr:nvCxnSpPr>
        <xdr:cNvPr id="14" name="Straight Connector 13">
          <a:extLst>
            <a:ext uri="{FF2B5EF4-FFF2-40B4-BE49-F238E27FC236}">
              <a16:creationId xmlns:a16="http://schemas.microsoft.com/office/drawing/2014/main" id="{DBC8F5B5-DBE3-4808-8933-BAC8EE963ACE}"/>
            </a:ext>
          </a:extLst>
        </xdr:cNvPr>
        <xdr:cNvCxnSpPr/>
      </xdr:nvCxnSpPr>
      <xdr:spPr>
        <a:xfrm>
          <a:off x="2743200" y="140970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289560</xdr:colOff>
      <xdr:row>9</xdr:row>
      <xdr:rowOff>129540</xdr:rowOff>
    </xdr:from>
    <xdr:to>
      <xdr:col>8</xdr:col>
      <xdr:colOff>472440</xdr:colOff>
      <xdr:row>9</xdr:row>
      <xdr:rowOff>137160</xdr:rowOff>
    </xdr:to>
    <xdr:cxnSp macro="">
      <xdr:nvCxnSpPr>
        <xdr:cNvPr id="15" name="Straight Connector 14">
          <a:extLst>
            <a:ext uri="{FF2B5EF4-FFF2-40B4-BE49-F238E27FC236}">
              <a16:creationId xmlns:a16="http://schemas.microsoft.com/office/drawing/2014/main" id="{C4E83F3A-7142-4AB8-B49A-744C71C7A90A}"/>
            </a:ext>
          </a:extLst>
        </xdr:cNvPr>
        <xdr:cNvCxnSpPr/>
      </xdr:nvCxnSpPr>
      <xdr:spPr>
        <a:xfrm>
          <a:off x="2727960" y="177546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42453</xdr:colOff>
      <xdr:row>5</xdr:row>
      <xdr:rowOff>99060</xdr:rowOff>
    </xdr:from>
    <xdr:to>
      <xdr:col>13</xdr:col>
      <xdr:colOff>403860</xdr:colOff>
      <xdr:row>12</xdr:row>
      <xdr:rowOff>16327</xdr:rowOff>
    </xdr:to>
    <xdr:sp macro="" textlink="">
      <xdr:nvSpPr>
        <xdr:cNvPr id="16" name="Rectangle: Rounded Corners 15">
          <a:extLst>
            <a:ext uri="{FF2B5EF4-FFF2-40B4-BE49-F238E27FC236}">
              <a16:creationId xmlns:a16="http://schemas.microsoft.com/office/drawing/2014/main" id="{9D5BC574-2B13-45AC-887F-349D8BBB8209}"/>
            </a:ext>
          </a:extLst>
        </xdr:cNvPr>
        <xdr:cNvSpPr/>
      </xdr:nvSpPr>
      <xdr:spPr>
        <a:xfrm>
          <a:off x="5528853" y="1013460"/>
          <a:ext cx="2799807" cy="1197427"/>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9</xdr:col>
      <xdr:colOff>83867</xdr:colOff>
      <xdr:row>5</xdr:row>
      <xdr:rowOff>60960</xdr:rowOff>
    </xdr:from>
    <xdr:to>
      <xdr:col>11</xdr:col>
      <xdr:colOff>167640</xdr:colOff>
      <xdr:row>7</xdr:row>
      <xdr:rowOff>182872</xdr:rowOff>
    </xdr:to>
    <xdr:sp macro="" textlink="Analysis!F14">
      <xdr:nvSpPr>
        <xdr:cNvPr id="17" name="TextBox 16">
          <a:extLst>
            <a:ext uri="{FF2B5EF4-FFF2-40B4-BE49-F238E27FC236}">
              <a16:creationId xmlns:a16="http://schemas.microsoft.com/office/drawing/2014/main" id="{F8E21597-3B76-4204-892D-806BF795BFB6}"/>
            </a:ext>
          </a:extLst>
        </xdr:cNvPr>
        <xdr:cNvSpPr txBox="1"/>
      </xdr:nvSpPr>
      <xdr:spPr>
        <a:xfrm>
          <a:off x="5570267" y="975360"/>
          <a:ext cx="130297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C8B619A-A79D-440B-A95D-082214B5F41F}"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Total Sales</a:t>
          </a:fld>
          <a:endParaRPr lang="en-US" sz="3600" b="1">
            <a:solidFill>
              <a:schemeClr val="bg1"/>
            </a:solidFill>
            <a:effectLst/>
          </a:endParaRPr>
        </a:p>
      </xdr:txBody>
    </xdr:sp>
    <xdr:clientData/>
  </xdr:twoCellAnchor>
  <xdr:twoCellAnchor>
    <xdr:from>
      <xdr:col>11</xdr:col>
      <xdr:colOff>61007</xdr:colOff>
      <xdr:row>7</xdr:row>
      <xdr:rowOff>68580</xdr:rowOff>
    </xdr:from>
    <xdr:to>
      <xdr:col>13</xdr:col>
      <xdr:colOff>548640</xdr:colOff>
      <xdr:row>10</xdr:row>
      <xdr:rowOff>7612</xdr:rowOff>
    </xdr:to>
    <xdr:sp macro="" textlink="Analysis!J7">
      <xdr:nvSpPr>
        <xdr:cNvPr id="18" name="TextBox 17">
          <a:extLst>
            <a:ext uri="{FF2B5EF4-FFF2-40B4-BE49-F238E27FC236}">
              <a16:creationId xmlns:a16="http://schemas.microsoft.com/office/drawing/2014/main" id="{917E66B1-EEFA-4EAA-8DB0-60049B38D249}"/>
            </a:ext>
          </a:extLst>
        </xdr:cNvPr>
        <xdr:cNvSpPr txBox="1"/>
      </xdr:nvSpPr>
      <xdr:spPr>
        <a:xfrm>
          <a:off x="6766607" y="134874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Vs Last</a:t>
          </a:r>
          <a:r>
            <a:rPr lang="en-US" sz="1600" b="1" baseline="0">
              <a:solidFill>
                <a:schemeClr val="bg1"/>
              </a:solidFill>
              <a:effectLst/>
            </a:rPr>
            <a:t> Month</a:t>
          </a:r>
          <a:endParaRPr lang="en-US" sz="1600" b="1">
            <a:solidFill>
              <a:schemeClr val="bg1"/>
            </a:solidFill>
            <a:effectLst/>
          </a:endParaRPr>
        </a:p>
      </xdr:txBody>
    </xdr:sp>
    <xdr:clientData/>
  </xdr:twoCellAnchor>
  <xdr:twoCellAnchor>
    <xdr:from>
      <xdr:col>11</xdr:col>
      <xdr:colOff>350567</xdr:colOff>
      <xdr:row>5</xdr:row>
      <xdr:rowOff>121920</xdr:rowOff>
    </xdr:from>
    <xdr:to>
      <xdr:col>13</xdr:col>
      <xdr:colOff>297180</xdr:colOff>
      <xdr:row>7</xdr:row>
      <xdr:rowOff>129540</xdr:rowOff>
    </xdr:to>
    <xdr:sp macro="" textlink="Analysis!F15">
      <xdr:nvSpPr>
        <xdr:cNvPr id="19" name="TextBox 18">
          <a:extLst>
            <a:ext uri="{FF2B5EF4-FFF2-40B4-BE49-F238E27FC236}">
              <a16:creationId xmlns:a16="http://schemas.microsoft.com/office/drawing/2014/main" id="{6D67DCE0-FD52-41F2-8337-B9CC47480EC4}"/>
            </a:ext>
          </a:extLst>
        </xdr:cNvPr>
        <xdr:cNvSpPr txBox="1"/>
      </xdr:nvSpPr>
      <xdr:spPr>
        <a:xfrm>
          <a:off x="7056167" y="10363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4A4CBA0-AFE6-465C-AE52-C8907A553876}"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$1,292,650 </a:t>
          </a:fld>
          <a:endParaRPr lang="en-US" sz="4800" b="1">
            <a:solidFill>
              <a:schemeClr val="bg1"/>
            </a:solidFill>
            <a:effectLst/>
          </a:endParaRPr>
        </a:p>
      </xdr:txBody>
    </xdr:sp>
    <xdr:clientData/>
  </xdr:twoCellAnchor>
  <xdr:twoCellAnchor>
    <xdr:from>
      <xdr:col>9</xdr:col>
      <xdr:colOff>129587</xdr:colOff>
      <xdr:row>7</xdr:row>
      <xdr:rowOff>137160</xdr:rowOff>
    </xdr:from>
    <xdr:to>
      <xdr:col>11</xdr:col>
      <xdr:colOff>76200</xdr:colOff>
      <xdr:row>9</xdr:row>
      <xdr:rowOff>144780</xdr:rowOff>
    </xdr:to>
    <xdr:sp macro="" textlink="Analysis!G15">
      <xdr:nvSpPr>
        <xdr:cNvPr id="20" name="TextBox 19">
          <a:extLst>
            <a:ext uri="{FF2B5EF4-FFF2-40B4-BE49-F238E27FC236}">
              <a16:creationId xmlns:a16="http://schemas.microsoft.com/office/drawing/2014/main" id="{44C1F1A0-9194-476C-A973-C92512BED983}"/>
            </a:ext>
          </a:extLst>
        </xdr:cNvPr>
        <xdr:cNvSpPr txBox="1"/>
      </xdr:nvSpPr>
      <xdr:spPr>
        <a:xfrm>
          <a:off x="5615987" y="14173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EFA2DA3-0EDC-4D33-812A-7D5185C65AD9}"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$1,221,642 </a:t>
          </a:fld>
          <a:endParaRPr lang="en-US" sz="6600" b="1">
            <a:solidFill>
              <a:schemeClr val="bg1"/>
            </a:solidFill>
            <a:effectLst/>
          </a:endParaRPr>
        </a:p>
      </xdr:txBody>
    </xdr:sp>
    <xdr:clientData/>
  </xdr:twoCellAnchor>
  <xdr:twoCellAnchor>
    <xdr:from>
      <xdr:col>11</xdr:col>
      <xdr:colOff>487727</xdr:colOff>
      <xdr:row>9</xdr:row>
      <xdr:rowOff>167640</xdr:rowOff>
    </xdr:from>
    <xdr:to>
      <xdr:col>13</xdr:col>
      <xdr:colOff>434340</xdr:colOff>
      <xdr:row>11</xdr:row>
      <xdr:rowOff>175260</xdr:rowOff>
    </xdr:to>
    <xdr:sp macro="" textlink="Analysis!H15">
      <xdr:nvSpPr>
        <xdr:cNvPr id="21" name="TextBox 20">
          <a:extLst>
            <a:ext uri="{FF2B5EF4-FFF2-40B4-BE49-F238E27FC236}">
              <a16:creationId xmlns:a16="http://schemas.microsoft.com/office/drawing/2014/main" id="{0D86B65E-B2FF-45B7-B527-D75F9CBD20AE}"/>
            </a:ext>
          </a:extLst>
        </xdr:cNvPr>
        <xdr:cNvSpPr txBox="1"/>
      </xdr:nvSpPr>
      <xdr:spPr>
        <a:xfrm>
          <a:off x="7193327" y="181356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F3E200C-48FD-4167-8EA6-09BBEDB54788}"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5.8%</a:t>
          </a:fld>
          <a:endParaRPr lang="en-US" sz="6600" b="1">
            <a:solidFill>
              <a:schemeClr val="bg1"/>
            </a:solidFill>
            <a:effectLst/>
          </a:endParaRPr>
        </a:p>
      </xdr:txBody>
    </xdr:sp>
    <xdr:clientData/>
  </xdr:twoCellAnchor>
  <xdr:twoCellAnchor>
    <xdr:from>
      <xdr:col>9</xdr:col>
      <xdr:colOff>15240</xdr:colOff>
      <xdr:row>9</xdr:row>
      <xdr:rowOff>152400</xdr:rowOff>
    </xdr:from>
    <xdr:to>
      <xdr:col>12</xdr:col>
      <xdr:colOff>38100</xdr:colOff>
      <xdr:row>11</xdr:row>
      <xdr:rowOff>160020</xdr:rowOff>
    </xdr:to>
    <xdr:sp macro="" textlink="Analysis!H14">
      <xdr:nvSpPr>
        <xdr:cNvPr id="22" name="TextBox 21">
          <a:extLst>
            <a:ext uri="{FF2B5EF4-FFF2-40B4-BE49-F238E27FC236}">
              <a16:creationId xmlns:a16="http://schemas.microsoft.com/office/drawing/2014/main" id="{CFC35D05-80CC-45FC-93C0-C95CCA721EFC}"/>
            </a:ext>
          </a:extLst>
        </xdr:cNvPr>
        <xdr:cNvSpPr txBox="1"/>
      </xdr:nvSpPr>
      <xdr:spPr>
        <a:xfrm>
          <a:off x="5501640" y="1798320"/>
          <a:ext cx="18516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F683483-2EC6-46FA-94FB-36BC2D1DAB4C}"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MoM Growth %</a:t>
          </a:fld>
          <a:endParaRPr lang="en-US" sz="3600" b="1">
            <a:solidFill>
              <a:schemeClr val="bg1"/>
            </a:solidFill>
            <a:effectLst/>
          </a:endParaRPr>
        </a:p>
      </xdr:txBody>
    </xdr:sp>
    <xdr:clientData/>
  </xdr:twoCellAnchor>
  <xdr:twoCellAnchor>
    <xdr:from>
      <xdr:col>13</xdr:col>
      <xdr:colOff>499653</xdr:colOff>
      <xdr:row>5</xdr:row>
      <xdr:rowOff>99060</xdr:rowOff>
    </xdr:from>
    <xdr:to>
      <xdr:col>18</xdr:col>
      <xdr:colOff>259080</xdr:colOff>
      <xdr:row>12</xdr:row>
      <xdr:rowOff>16327</xdr:rowOff>
    </xdr:to>
    <xdr:sp macro="" textlink="">
      <xdr:nvSpPr>
        <xdr:cNvPr id="23" name="Rectangle: Rounded Corners 22">
          <a:extLst>
            <a:ext uri="{FF2B5EF4-FFF2-40B4-BE49-F238E27FC236}">
              <a16:creationId xmlns:a16="http://schemas.microsoft.com/office/drawing/2014/main" id="{B541F899-3A88-44D2-B305-8BAB9E6EEE39}"/>
            </a:ext>
          </a:extLst>
        </xdr:cNvPr>
        <xdr:cNvSpPr/>
      </xdr:nvSpPr>
      <xdr:spPr>
        <a:xfrm>
          <a:off x="8424453" y="1013460"/>
          <a:ext cx="2807427" cy="1197427"/>
        </a:xfrm>
        <a:prstGeom prst="roundRect">
          <a:avLst>
            <a:gd name="adj" fmla="val 11576"/>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13</xdr:col>
      <xdr:colOff>502967</xdr:colOff>
      <xdr:row>5</xdr:row>
      <xdr:rowOff>68580</xdr:rowOff>
    </xdr:from>
    <xdr:to>
      <xdr:col>16</xdr:col>
      <xdr:colOff>381000</xdr:colOff>
      <xdr:row>8</xdr:row>
      <xdr:rowOff>7612</xdr:rowOff>
    </xdr:to>
    <xdr:sp macro="" textlink="Analysis!L7">
      <xdr:nvSpPr>
        <xdr:cNvPr id="24" name="TextBox 23">
          <a:extLst>
            <a:ext uri="{FF2B5EF4-FFF2-40B4-BE49-F238E27FC236}">
              <a16:creationId xmlns:a16="http://schemas.microsoft.com/office/drawing/2014/main" id="{A15302A0-6FA3-40FE-B709-CCC5243D407F}"/>
            </a:ext>
          </a:extLst>
        </xdr:cNvPr>
        <xdr:cNvSpPr txBox="1"/>
      </xdr:nvSpPr>
      <xdr:spPr>
        <a:xfrm>
          <a:off x="8427767" y="98298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17BA48B-8639-4312-8DE0-2129B71DE27F}"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Total Quantity</a:t>
          </a:fld>
          <a:endParaRPr lang="en-US" sz="3600" b="1">
            <a:solidFill>
              <a:schemeClr val="bg1"/>
            </a:solidFill>
            <a:effectLst/>
          </a:endParaRPr>
        </a:p>
      </xdr:txBody>
    </xdr:sp>
    <xdr:clientData/>
  </xdr:twoCellAnchor>
  <xdr:twoCellAnchor>
    <xdr:from>
      <xdr:col>15</xdr:col>
      <xdr:colOff>518207</xdr:colOff>
      <xdr:row>7</xdr:row>
      <xdr:rowOff>68580</xdr:rowOff>
    </xdr:from>
    <xdr:to>
      <xdr:col>18</xdr:col>
      <xdr:colOff>396240</xdr:colOff>
      <xdr:row>10</xdr:row>
      <xdr:rowOff>7612</xdr:rowOff>
    </xdr:to>
    <xdr:sp macro="" textlink="Analysis!J7">
      <xdr:nvSpPr>
        <xdr:cNvPr id="25" name="TextBox 24">
          <a:extLst>
            <a:ext uri="{FF2B5EF4-FFF2-40B4-BE49-F238E27FC236}">
              <a16:creationId xmlns:a16="http://schemas.microsoft.com/office/drawing/2014/main" id="{23A5FFBF-8CF9-46EA-B251-58D556B23161}"/>
            </a:ext>
          </a:extLst>
        </xdr:cNvPr>
        <xdr:cNvSpPr txBox="1"/>
      </xdr:nvSpPr>
      <xdr:spPr>
        <a:xfrm>
          <a:off x="9662207" y="134874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Vs Last</a:t>
          </a:r>
          <a:r>
            <a:rPr lang="en-US" sz="1600" b="1" baseline="0">
              <a:solidFill>
                <a:schemeClr val="bg1"/>
              </a:solidFill>
              <a:effectLst/>
            </a:rPr>
            <a:t> Month</a:t>
          </a:r>
          <a:endParaRPr lang="en-US" sz="1600" b="1">
            <a:solidFill>
              <a:schemeClr val="bg1"/>
            </a:solidFill>
            <a:effectLst/>
          </a:endParaRPr>
        </a:p>
      </xdr:txBody>
    </xdr:sp>
    <xdr:clientData/>
  </xdr:twoCellAnchor>
  <xdr:twoCellAnchor>
    <xdr:from>
      <xdr:col>16</xdr:col>
      <xdr:colOff>388667</xdr:colOff>
      <xdr:row>5</xdr:row>
      <xdr:rowOff>137160</xdr:rowOff>
    </xdr:from>
    <xdr:to>
      <xdr:col>18</xdr:col>
      <xdr:colOff>335280</xdr:colOff>
      <xdr:row>7</xdr:row>
      <xdr:rowOff>144780</xdr:rowOff>
    </xdr:to>
    <xdr:sp macro="" textlink="Analysis!L15">
      <xdr:nvSpPr>
        <xdr:cNvPr id="26" name="TextBox 25">
          <a:extLst>
            <a:ext uri="{FF2B5EF4-FFF2-40B4-BE49-F238E27FC236}">
              <a16:creationId xmlns:a16="http://schemas.microsoft.com/office/drawing/2014/main" id="{3EECAC2E-C676-45C0-A631-AD3302AC8668}"/>
            </a:ext>
          </a:extLst>
        </xdr:cNvPr>
        <xdr:cNvSpPr txBox="1"/>
      </xdr:nvSpPr>
      <xdr:spPr>
        <a:xfrm>
          <a:off x="10142267" y="105156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D69073C-F19F-4218-807D-BC20FC5ADB08}"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154</a:t>
          </a:fld>
          <a:endParaRPr lang="en-US" sz="4800" b="1">
            <a:solidFill>
              <a:schemeClr val="bg1"/>
            </a:solidFill>
            <a:effectLst/>
          </a:endParaRPr>
        </a:p>
      </xdr:txBody>
    </xdr:sp>
    <xdr:clientData/>
  </xdr:twoCellAnchor>
  <xdr:twoCellAnchor>
    <xdr:from>
      <xdr:col>14</xdr:col>
      <xdr:colOff>30527</xdr:colOff>
      <xdr:row>7</xdr:row>
      <xdr:rowOff>137160</xdr:rowOff>
    </xdr:from>
    <xdr:to>
      <xdr:col>15</xdr:col>
      <xdr:colOff>586740</xdr:colOff>
      <xdr:row>9</xdr:row>
      <xdr:rowOff>144780</xdr:rowOff>
    </xdr:to>
    <xdr:sp macro="" textlink="Analysis!M15">
      <xdr:nvSpPr>
        <xdr:cNvPr id="27" name="TextBox 26">
          <a:extLst>
            <a:ext uri="{FF2B5EF4-FFF2-40B4-BE49-F238E27FC236}">
              <a16:creationId xmlns:a16="http://schemas.microsoft.com/office/drawing/2014/main" id="{3597D4D7-0867-402D-89F5-9C592B6CB6F4}"/>
            </a:ext>
          </a:extLst>
        </xdr:cNvPr>
        <xdr:cNvSpPr txBox="1"/>
      </xdr:nvSpPr>
      <xdr:spPr>
        <a:xfrm>
          <a:off x="8564927" y="14173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DC6365B-B7E2-42F2-97AD-36419D65109D}"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147</a:t>
          </a:fld>
          <a:endParaRPr lang="en-US" sz="6600" b="1">
            <a:solidFill>
              <a:schemeClr val="bg1"/>
            </a:solidFill>
            <a:effectLst/>
          </a:endParaRPr>
        </a:p>
      </xdr:txBody>
    </xdr:sp>
    <xdr:clientData/>
  </xdr:twoCellAnchor>
  <xdr:twoCellAnchor>
    <xdr:from>
      <xdr:col>16</xdr:col>
      <xdr:colOff>403907</xdr:colOff>
      <xdr:row>9</xdr:row>
      <xdr:rowOff>160020</xdr:rowOff>
    </xdr:from>
    <xdr:to>
      <xdr:col>18</xdr:col>
      <xdr:colOff>350520</xdr:colOff>
      <xdr:row>11</xdr:row>
      <xdr:rowOff>167640</xdr:rowOff>
    </xdr:to>
    <xdr:sp macro="" textlink="Analysis!N15">
      <xdr:nvSpPr>
        <xdr:cNvPr id="28" name="TextBox 27">
          <a:extLst>
            <a:ext uri="{FF2B5EF4-FFF2-40B4-BE49-F238E27FC236}">
              <a16:creationId xmlns:a16="http://schemas.microsoft.com/office/drawing/2014/main" id="{328BF835-17FD-4160-9D14-38DE3A85B04B}"/>
            </a:ext>
          </a:extLst>
        </xdr:cNvPr>
        <xdr:cNvSpPr txBox="1"/>
      </xdr:nvSpPr>
      <xdr:spPr>
        <a:xfrm>
          <a:off x="10157507" y="18059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DB3D7A69-6040-4C08-942E-0083DD834FDE}"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4.8%</a:t>
          </a:fld>
          <a:endParaRPr lang="en-US" sz="6600" b="1">
            <a:solidFill>
              <a:schemeClr val="bg1"/>
            </a:solidFill>
            <a:effectLst/>
          </a:endParaRPr>
        </a:p>
      </xdr:txBody>
    </xdr:sp>
    <xdr:clientData/>
  </xdr:twoCellAnchor>
  <xdr:twoCellAnchor>
    <xdr:from>
      <xdr:col>13</xdr:col>
      <xdr:colOff>350567</xdr:colOff>
      <xdr:row>9</xdr:row>
      <xdr:rowOff>160020</xdr:rowOff>
    </xdr:from>
    <xdr:to>
      <xdr:col>17</xdr:col>
      <xdr:colOff>205740</xdr:colOff>
      <xdr:row>11</xdr:row>
      <xdr:rowOff>167640</xdr:rowOff>
    </xdr:to>
    <xdr:sp macro="" textlink="Analysis!N14">
      <xdr:nvSpPr>
        <xdr:cNvPr id="29" name="TextBox 28">
          <a:extLst>
            <a:ext uri="{FF2B5EF4-FFF2-40B4-BE49-F238E27FC236}">
              <a16:creationId xmlns:a16="http://schemas.microsoft.com/office/drawing/2014/main" id="{47F027D0-D5A9-45D8-BD2F-812DB0CE7CC0}"/>
            </a:ext>
          </a:extLst>
        </xdr:cNvPr>
        <xdr:cNvSpPr txBox="1"/>
      </xdr:nvSpPr>
      <xdr:spPr>
        <a:xfrm>
          <a:off x="8275367" y="1805940"/>
          <a:ext cx="229357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75C67BA-5360-4A93-833F-D423DAD3D200}"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Quantity Growth %</a:t>
          </a:fld>
          <a:endParaRPr lang="en-US" sz="3600" b="1">
            <a:solidFill>
              <a:schemeClr val="bg1"/>
            </a:solidFill>
            <a:effectLst/>
          </a:endParaRPr>
        </a:p>
      </xdr:txBody>
    </xdr:sp>
    <xdr:clientData/>
  </xdr:twoCellAnchor>
  <xdr:twoCellAnchor>
    <xdr:from>
      <xdr:col>4</xdr:col>
      <xdr:colOff>156752</xdr:colOff>
      <xdr:row>12</xdr:row>
      <xdr:rowOff>83820</xdr:rowOff>
    </xdr:from>
    <xdr:to>
      <xdr:col>11</xdr:col>
      <xdr:colOff>548640</xdr:colOff>
      <xdr:row>19</xdr:row>
      <xdr:rowOff>176347</xdr:rowOff>
    </xdr:to>
    <xdr:sp macro="" textlink="">
      <xdr:nvSpPr>
        <xdr:cNvPr id="30" name="Rectangle: Rounded Corners 29">
          <a:extLst>
            <a:ext uri="{FF2B5EF4-FFF2-40B4-BE49-F238E27FC236}">
              <a16:creationId xmlns:a16="http://schemas.microsoft.com/office/drawing/2014/main" id="{ABCC62CF-FD0E-4C29-91E8-DD06A219A254}"/>
            </a:ext>
          </a:extLst>
        </xdr:cNvPr>
        <xdr:cNvSpPr/>
      </xdr:nvSpPr>
      <xdr:spPr>
        <a:xfrm>
          <a:off x="2595152" y="2278380"/>
          <a:ext cx="4659088" cy="1372687"/>
        </a:xfrm>
        <a:prstGeom prst="roundRect">
          <a:avLst>
            <a:gd name="adj" fmla="val 11207"/>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1">
            <a:solidFill>
              <a:schemeClr val="bg1"/>
            </a:solidFill>
          </a:endParaRPr>
        </a:p>
      </xdr:txBody>
    </xdr:sp>
    <xdr:clientData/>
  </xdr:twoCellAnchor>
  <xdr:twoCellAnchor>
    <xdr:from>
      <xdr:col>9</xdr:col>
      <xdr:colOff>152400</xdr:colOff>
      <xdr:row>7</xdr:row>
      <xdr:rowOff>144780</xdr:rowOff>
    </xdr:from>
    <xdr:to>
      <xdr:col>13</xdr:col>
      <xdr:colOff>320040</xdr:colOff>
      <xdr:row>7</xdr:row>
      <xdr:rowOff>152400</xdr:rowOff>
    </xdr:to>
    <xdr:cxnSp macro="">
      <xdr:nvCxnSpPr>
        <xdr:cNvPr id="31" name="Straight Connector 30">
          <a:extLst>
            <a:ext uri="{FF2B5EF4-FFF2-40B4-BE49-F238E27FC236}">
              <a16:creationId xmlns:a16="http://schemas.microsoft.com/office/drawing/2014/main" id="{E221C5C0-D376-464F-9502-B83FD6B41A9A}"/>
            </a:ext>
          </a:extLst>
        </xdr:cNvPr>
        <xdr:cNvCxnSpPr/>
      </xdr:nvCxnSpPr>
      <xdr:spPr>
        <a:xfrm>
          <a:off x="5638800" y="142494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137160</xdr:colOff>
      <xdr:row>9</xdr:row>
      <xdr:rowOff>152400</xdr:rowOff>
    </xdr:from>
    <xdr:to>
      <xdr:col>13</xdr:col>
      <xdr:colOff>320040</xdr:colOff>
      <xdr:row>9</xdr:row>
      <xdr:rowOff>160020</xdr:rowOff>
    </xdr:to>
    <xdr:cxnSp macro="">
      <xdr:nvCxnSpPr>
        <xdr:cNvPr id="32" name="Straight Connector 31">
          <a:extLst>
            <a:ext uri="{FF2B5EF4-FFF2-40B4-BE49-F238E27FC236}">
              <a16:creationId xmlns:a16="http://schemas.microsoft.com/office/drawing/2014/main" id="{6FE92F6B-97BF-47D0-A1FC-CD80EF5CE8A6}"/>
            </a:ext>
          </a:extLst>
        </xdr:cNvPr>
        <xdr:cNvCxnSpPr/>
      </xdr:nvCxnSpPr>
      <xdr:spPr>
        <a:xfrm>
          <a:off x="5623560" y="179832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7</xdr:row>
      <xdr:rowOff>152400</xdr:rowOff>
    </xdr:from>
    <xdr:to>
      <xdr:col>18</xdr:col>
      <xdr:colOff>167640</xdr:colOff>
      <xdr:row>7</xdr:row>
      <xdr:rowOff>160020</xdr:rowOff>
    </xdr:to>
    <xdr:cxnSp macro="">
      <xdr:nvCxnSpPr>
        <xdr:cNvPr id="33" name="Straight Connector 32">
          <a:extLst>
            <a:ext uri="{FF2B5EF4-FFF2-40B4-BE49-F238E27FC236}">
              <a16:creationId xmlns:a16="http://schemas.microsoft.com/office/drawing/2014/main" id="{3CCF1FD8-FEF6-4FDA-91BF-02EA4970AB4B}"/>
            </a:ext>
          </a:extLst>
        </xdr:cNvPr>
        <xdr:cNvCxnSpPr/>
      </xdr:nvCxnSpPr>
      <xdr:spPr>
        <a:xfrm>
          <a:off x="8534400" y="143256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594360</xdr:colOff>
      <xdr:row>9</xdr:row>
      <xdr:rowOff>160020</xdr:rowOff>
    </xdr:from>
    <xdr:to>
      <xdr:col>18</xdr:col>
      <xdr:colOff>167640</xdr:colOff>
      <xdr:row>9</xdr:row>
      <xdr:rowOff>167640</xdr:rowOff>
    </xdr:to>
    <xdr:cxnSp macro="">
      <xdr:nvCxnSpPr>
        <xdr:cNvPr id="34" name="Straight Connector 33">
          <a:extLst>
            <a:ext uri="{FF2B5EF4-FFF2-40B4-BE49-F238E27FC236}">
              <a16:creationId xmlns:a16="http://schemas.microsoft.com/office/drawing/2014/main" id="{1BB64B4F-67BC-4B00-AE3D-BC24AF463C5C}"/>
            </a:ext>
          </a:extLst>
        </xdr:cNvPr>
        <xdr:cNvCxnSpPr/>
      </xdr:nvCxnSpPr>
      <xdr:spPr>
        <a:xfrm>
          <a:off x="8519160" y="180594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332013</xdr:colOff>
      <xdr:row>5</xdr:row>
      <xdr:rowOff>106680</xdr:rowOff>
    </xdr:from>
    <xdr:to>
      <xdr:col>23</xdr:col>
      <xdr:colOff>91440</xdr:colOff>
      <xdr:row>12</xdr:row>
      <xdr:rowOff>22860</xdr:rowOff>
    </xdr:to>
    <xdr:sp macro="" textlink="">
      <xdr:nvSpPr>
        <xdr:cNvPr id="35" name="Rectangle: Rounded Corners 34">
          <a:extLst>
            <a:ext uri="{FF2B5EF4-FFF2-40B4-BE49-F238E27FC236}">
              <a16:creationId xmlns:a16="http://schemas.microsoft.com/office/drawing/2014/main" id="{84F42DAE-288A-43A4-AD72-593E9F9B7E9D}"/>
            </a:ext>
          </a:extLst>
        </xdr:cNvPr>
        <xdr:cNvSpPr/>
      </xdr:nvSpPr>
      <xdr:spPr>
        <a:xfrm>
          <a:off x="11304813" y="1021080"/>
          <a:ext cx="2807427" cy="1196340"/>
        </a:xfrm>
        <a:prstGeom prst="roundRect">
          <a:avLst>
            <a:gd name="adj" fmla="val 10303"/>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335327</xdr:colOff>
      <xdr:row>5</xdr:row>
      <xdr:rowOff>60960</xdr:rowOff>
    </xdr:from>
    <xdr:to>
      <xdr:col>21</xdr:col>
      <xdr:colOff>213360</xdr:colOff>
      <xdr:row>7</xdr:row>
      <xdr:rowOff>182872</xdr:rowOff>
    </xdr:to>
    <xdr:sp macro="" textlink="Analysis!DN11">
      <xdr:nvSpPr>
        <xdr:cNvPr id="36" name="TextBox 35">
          <a:extLst>
            <a:ext uri="{FF2B5EF4-FFF2-40B4-BE49-F238E27FC236}">
              <a16:creationId xmlns:a16="http://schemas.microsoft.com/office/drawing/2014/main" id="{4B61D268-7087-4A92-A2F2-74796BC6C4BD}"/>
            </a:ext>
          </a:extLst>
        </xdr:cNvPr>
        <xdr:cNvSpPr txBox="1"/>
      </xdr:nvSpPr>
      <xdr:spPr>
        <a:xfrm>
          <a:off x="11308127" y="975360"/>
          <a:ext cx="170683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758D8BB-2C40-4A26-8EDB-844C74D87E24}"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Failed Deliveries Count</a:t>
          </a:fld>
          <a:endParaRPr lang="en-US" sz="6600" b="1">
            <a:solidFill>
              <a:schemeClr val="bg1"/>
            </a:solidFill>
            <a:effectLst/>
          </a:endParaRPr>
        </a:p>
      </xdr:txBody>
    </xdr:sp>
    <xdr:clientData/>
  </xdr:twoCellAnchor>
  <xdr:twoCellAnchor>
    <xdr:from>
      <xdr:col>18</xdr:col>
      <xdr:colOff>243887</xdr:colOff>
      <xdr:row>7</xdr:row>
      <xdr:rowOff>76200</xdr:rowOff>
    </xdr:from>
    <xdr:to>
      <xdr:col>21</xdr:col>
      <xdr:colOff>449580</xdr:colOff>
      <xdr:row>10</xdr:row>
      <xdr:rowOff>15232</xdr:rowOff>
    </xdr:to>
    <xdr:sp macro="" textlink="Analysis!DO11">
      <xdr:nvSpPr>
        <xdr:cNvPr id="37" name="TextBox 36">
          <a:extLst>
            <a:ext uri="{FF2B5EF4-FFF2-40B4-BE49-F238E27FC236}">
              <a16:creationId xmlns:a16="http://schemas.microsoft.com/office/drawing/2014/main" id="{69908DE6-12A1-4722-8393-E56D8B5B20C4}"/>
            </a:ext>
          </a:extLst>
        </xdr:cNvPr>
        <xdr:cNvSpPr txBox="1"/>
      </xdr:nvSpPr>
      <xdr:spPr>
        <a:xfrm>
          <a:off x="11216687" y="1356360"/>
          <a:ext cx="2034493" cy="48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E0CA122-A411-4FE7-892A-DC6065D8982B}"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Returned Revenue</a:t>
          </a:fld>
          <a:endParaRPr lang="en-US" sz="2400" b="1">
            <a:solidFill>
              <a:schemeClr val="bg1"/>
            </a:solidFill>
            <a:effectLst/>
          </a:endParaRPr>
        </a:p>
      </xdr:txBody>
    </xdr:sp>
    <xdr:clientData/>
  </xdr:twoCellAnchor>
  <xdr:twoCellAnchor>
    <xdr:from>
      <xdr:col>21</xdr:col>
      <xdr:colOff>221027</xdr:colOff>
      <xdr:row>5</xdr:row>
      <xdr:rowOff>129540</xdr:rowOff>
    </xdr:from>
    <xdr:to>
      <xdr:col>23</xdr:col>
      <xdr:colOff>167640</xdr:colOff>
      <xdr:row>7</xdr:row>
      <xdr:rowOff>137160</xdr:rowOff>
    </xdr:to>
    <xdr:sp macro="" textlink="Analysis!DN12">
      <xdr:nvSpPr>
        <xdr:cNvPr id="38" name="TextBox 37">
          <a:extLst>
            <a:ext uri="{FF2B5EF4-FFF2-40B4-BE49-F238E27FC236}">
              <a16:creationId xmlns:a16="http://schemas.microsoft.com/office/drawing/2014/main" id="{6F2A23FE-0125-4BB4-B276-52D748EEC300}"/>
            </a:ext>
          </a:extLst>
        </xdr:cNvPr>
        <xdr:cNvSpPr txBox="1"/>
      </xdr:nvSpPr>
      <xdr:spPr>
        <a:xfrm>
          <a:off x="13022627" y="10439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4D390D4-CBF6-4CB2-853A-0A9C15269AEC}"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24</a:t>
          </a:fld>
          <a:endParaRPr lang="en-US" sz="8800" b="1">
            <a:solidFill>
              <a:schemeClr val="bg1"/>
            </a:solidFill>
            <a:effectLst/>
          </a:endParaRPr>
        </a:p>
      </xdr:txBody>
    </xdr:sp>
    <xdr:clientData/>
  </xdr:twoCellAnchor>
  <xdr:twoCellAnchor>
    <xdr:from>
      <xdr:col>21</xdr:col>
      <xdr:colOff>175307</xdr:colOff>
      <xdr:row>7</xdr:row>
      <xdr:rowOff>144780</xdr:rowOff>
    </xdr:from>
    <xdr:to>
      <xdr:col>23</xdr:col>
      <xdr:colOff>121920</xdr:colOff>
      <xdr:row>9</xdr:row>
      <xdr:rowOff>152400</xdr:rowOff>
    </xdr:to>
    <xdr:sp macro="" textlink="Analysis!DO12">
      <xdr:nvSpPr>
        <xdr:cNvPr id="39" name="TextBox 38">
          <a:extLst>
            <a:ext uri="{FF2B5EF4-FFF2-40B4-BE49-F238E27FC236}">
              <a16:creationId xmlns:a16="http://schemas.microsoft.com/office/drawing/2014/main" id="{1D77B955-741A-4147-B91F-E60FDA90394F}"/>
            </a:ext>
          </a:extLst>
        </xdr:cNvPr>
        <xdr:cNvSpPr txBox="1"/>
      </xdr:nvSpPr>
      <xdr:spPr>
        <a:xfrm>
          <a:off x="12976907" y="142494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90EC42D-7AC0-48F1-8238-20FBBA477C8E}"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$263,556 </a:t>
          </a:fld>
          <a:endParaRPr lang="en-US" sz="13800" b="1">
            <a:solidFill>
              <a:schemeClr val="bg1"/>
            </a:solidFill>
            <a:effectLst/>
          </a:endParaRPr>
        </a:p>
      </xdr:txBody>
    </xdr:sp>
    <xdr:clientData/>
  </xdr:twoCellAnchor>
  <xdr:twoCellAnchor>
    <xdr:from>
      <xdr:col>21</xdr:col>
      <xdr:colOff>259127</xdr:colOff>
      <xdr:row>10</xdr:row>
      <xdr:rowOff>83820</xdr:rowOff>
    </xdr:from>
    <xdr:to>
      <xdr:col>23</xdr:col>
      <xdr:colOff>205740</xdr:colOff>
      <xdr:row>12</xdr:row>
      <xdr:rowOff>91440</xdr:rowOff>
    </xdr:to>
    <xdr:sp macro="" textlink="Analysis!DP12">
      <xdr:nvSpPr>
        <xdr:cNvPr id="40" name="TextBox 39">
          <a:extLst>
            <a:ext uri="{FF2B5EF4-FFF2-40B4-BE49-F238E27FC236}">
              <a16:creationId xmlns:a16="http://schemas.microsoft.com/office/drawing/2014/main" id="{97E3090C-CB98-4B9B-BEC4-9200F1614F5B}"/>
            </a:ext>
          </a:extLst>
        </xdr:cNvPr>
        <xdr:cNvSpPr txBox="1"/>
      </xdr:nvSpPr>
      <xdr:spPr>
        <a:xfrm>
          <a:off x="13060727" y="1912620"/>
          <a:ext cx="1165813"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5C06BA3-3B6D-4B84-8A1D-9EE24D3DA4D9}" type="TxLink">
            <a:rPr lang="en-US" sz="14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$145,178 </a:t>
          </a:fld>
          <a:endParaRPr lang="en-US" sz="11500" b="1">
            <a:solidFill>
              <a:schemeClr val="bg1"/>
            </a:solidFill>
            <a:effectLst/>
          </a:endParaRPr>
        </a:p>
      </xdr:txBody>
    </xdr:sp>
    <xdr:clientData/>
  </xdr:twoCellAnchor>
  <xdr:twoCellAnchor>
    <xdr:from>
      <xdr:col>18</xdr:col>
      <xdr:colOff>373380</xdr:colOff>
      <xdr:row>9</xdr:row>
      <xdr:rowOff>83820</xdr:rowOff>
    </xdr:from>
    <xdr:to>
      <xdr:col>23</xdr:col>
      <xdr:colOff>60960</xdr:colOff>
      <xdr:row>11</xdr:row>
      <xdr:rowOff>91440</xdr:rowOff>
    </xdr:to>
    <xdr:sp macro="" textlink="Analysis!DP11">
      <xdr:nvSpPr>
        <xdr:cNvPr id="41" name="TextBox 40">
          <a:extLst>
            <a:ext uri="{FF2B5EF4-FFF2-40B4-BE49-F238E27FC236}">
              <a16:creationId xmlns:a16="http://schemas.microsoft.com/office/drawing/2014/main" id="{E91BDDD6-C1A2-4EC7-BACA-5DDF34F70E25}"/>
            </a:ext>
          </a:extLst>
        </xdr:cNvPr>
        <xdr:cNvSpPr txBox="1"/>
      </xdr:nvSpPr>
      <xdr:spPr>
        <a:xfrm>
          <a:off x="11346180" y="1729740"/>
          <a:ext cx="27355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741C58B-6F0D-4716-B26A-18CB84323DB6}" type="TxLink">
            <a:rPr lang="en-US" sz="16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Paid Unpaid Delivery Revenue</a:t>
          </a:fld>
          <a:endParaRPr lang="en-US" sz="2400" b="1">
            <a:solidFill>
              <a:schemeClr val="bg1"/>
            </a:solidFill>
            <a:effectLst/>
          </a:endParaRPr>
        </a:p>
      </xdr:txBody>
    </xdr:sp>
    <xdr:clientData/>
  </xdr:twoCellAnchor>
  <xdr:twoCellAnchor>
    <xdr:from>
      <xdr:col>18</xdr:col>
      <xdr:colOff>441960</xdr:colOff>
      <xdr:row>7</xdr:row>
      <xdr:rowOff>144780</xdr:rowOff>
    </xdr:from>
    <xdr:to>
      <xdr:col>23</xdr:col>
      <xdr:colOff>0</xdr:colOff>
      <xdr:row>7</xdr:row>
      <xdr:rowOff>152400</xdr:rowOff>
    </xdr:to>
    <xdr:cxnSp macro="">
      <xdr:nvCxnSpPr>
        <xdr:cNvPr id="42" name="Straight Connector 41">
          <a:extLst>
            <a:ext uri="{FF2B5EF4-FFF2-40B4-BE49-F238E27FC236}">
              <a16:creationId xmlns:a16="http://schemas.microsoft.com/office/drawing/2014/main" id="{EF098CF0-93D5-4151-B338-9B3E60894AEC}"/>
            </a:ext>
          </a:extLst>
        </xdr:cNvPr>
        <xdr:cNvCxnSpPr/>
      </xdr:nvCxnSpPr>
      <xdr:spPr>
        <a:xfrm>
          <a:off x="11414760" y="1424940"/>
          <a:ext cx="260604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426720</xdr:colOff>
      <xdr:row>9</xdr:row>
      <xdr:rowOff>152400</xdr:rowOff>
    </xdr:from>
    <xdr:to>
      <xdr:col>23</xdr:col>
      <xdr:colOff>0</xdr:colOff>
      <xdr:row>9</xdr:row>
      <xdr:rowOff>160020</xdr:rowOff>
    </xdr:to>
    <xdr:cxnSp macro="">
      <xdr:nvCxnSpPr>
        <xdr:cNvPr id="43" name="Straight Connector 42">
          <a:extLst>
            <a:ext uri="{FF2B5EF4-FFF2-40B4-BE49-F238E27FC236}">
              <a16:creationId xmlns:a16="http://schemas.microsoft.com/office/drawing/2014/main" id="{AB5A4C68-C9FC-42C4-B480-55C074B71A0F}"/>
            </a:ext>
          </a:extLst>
        </xdr:cNvPr>
        <xdr:cNvCxnSpPr/>
      </xdr:nvCxnSpPr>
      <xdr:spPr>
        <a:xfrm>
          <a:off x="11399520" y="1798320"/>
          <a:ext cx="26212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521426</xdr:colOff>
      <xdr:row>20</xdr:row>
      <xdr:rowOff>53340</xdr:rowOff>
    </xdr:from>
    <xdr:to>
      <xdr:col>18</xdr:col>
      <xdr:colOff>167640</xdr:colOff>
      <xdr:row>30</xdr:row>
      <xdr:rowOff>144780</xdr:rowOff>
    </xdr:to>
    <xdr:sp macro="" textlink="">
      <xdr:nvSpPr>
        <xdr:cNvPr id="48" name="Rectangle: Rounded Corners 47">
          <a:extLst>
            <a:ext uri="{FF2B5EF4-FFF2-40B4-BE49-F238E27FC236}">
              <a16:creationId xmlns:a16="http://schemas.microsoft.com/office/drawing/2014/main" id="{DF24A01F-B471-488A-BFAF-AB6E7429E256}"/>
            </a:ext>
          </a:extLst>
        </xdr:cNvPr>
        <xdr:cNvSpPr/>
      </xdr:nvSpPr>
      <xdr:spPr>
        <a:xfrm>
          <a:off x="6617426" y="3710940"/>
          <a:ext cx="4523014" cy="1920240"/>
        </a:xfrm>
        <a:prstGeom prst="roundRect">
          <a:avLst>
            <a:gd name="adj" fmla="val 6747"/>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18</xdr:col>
      <xdr:colOff>236220</xdr:colOff>
      <xdr:row>12</xdr:row>
      <xdr:rowOff>76200</xdr:rowOff>
    </xdr:from>
    <xdr:to>
      <xdr:col>23</xdr:col>
      <xdr:colOff>99060</xdr:colOff>
      <xdr:row>30</xdr:row>
      <xdr:rowOff>167640</xdr:rowOff>
    </xdr:to>
    <xdr:sp macro="" textlink="">
      <xdr:nvSpPr>
        <xdr:cNvPr id="51" name="Rectangle: Rounded Corners 50">
          <a:extLst>
            <a:ext uri="{FF2B5EF4-FFF2-40B4-BE49-F238E27FC236}">
              <a16:creationId xmlns:a16="http://schemas.microsoft.com/office/drawing/2014/main" id="{2027B452-D492-4EE5-9D29-742960E0B22C}"/>
            </a:ext>
          </a:extLst>
        </xdr:cNvPr>
        <xdr:cNvSpPr/>
      </xdr:nvSpPr>
      <xdr:spPr>
        <a:xfrm>
          <a:off x="11209020" y="2270760"/>
          <a:ext cx="2910840" cy="3383280"/>
        </a:xfrm>
        <a:prstGeom prst="roundRect">
          <a:avLst>
            <a:gd name="adj" fmla="val 5082"/>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10</xdr:col>
      <xdr:colOff>594360</xdr:colOff>
      <xdr:row>22</xdr:row>
      <xdr:rowOff>30480</xdr:rowOff>
    </xdr:from>
    <xdr:to>
      <xdr:col>18</xdr:col>
      <xdr:colOff>121920</xdr:colOff>
      <xdr:row>30</xdr:row>
      <xdr:rowOff>121920</xdr:rowOff>
    </xdr:to>
    <xdr:graphicFrame macro="">
      <xdr:nvGraphicFramePr>
        <xdr:cNvPr id="54" name="Chart 53">
          <a:extLst>
            <a:ext uri="{FF2B5EF4-FFF2-40B4-BE49-F238E27FC236}">
              <a16:creationId xmlns:a16="http://schemas.microsoft.com/office/drawing/2014/main" id="{C9579C27-2A5A-462E-9CE0-F10EF0B8F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198120</xdr:colOff>
      <xdr:row>22</xdr:row>
      <xdr:rowOff>60960</xdr:rowOff>
    </xdr:from>
    <xdr:to>
      <xdr:col>10</xdr:col>
      <xdr:colOff>350520</xdr:colOff>
      <xdr:row>30</xdr:row>
      <xdr:rowOff>99060</xdr:rowOff>
    </xdr:to>
    <xdr:graphicFrame macro="">
      <xdr:nvGraphicFramePr>
        <xdr:cNvPr id="55" name="Chart 54">
          <a:extLst>
            <a:ext uri="{FF2B5EF4-FFF2-40B4-BE49-F238E27FC236}">
              <a16:creationId xmlns:a16="http://schemas.microsoft.com/office/drawing/2014/main" id="{B6B51787-3851-40E4-8132-3D1C55640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121920</xdr:colOff>
      <xdr:row>14</xdr:row>
      <xdr:rowOff>22860</xdr:rowOff>
    </xdr:from>
    <xdr:to>
      <xdr:col>11</xdr:col>
      <xdr:colOff>525780</xdr:colOff>
      <xdr:row>20</xdr:row>
      <xdr:rowOff>15240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E6243633-D427-4D80-87C3-2CEC5D936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60320" y="2583180"/>
              <a:ext cx="4671060" cy="1089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12</xdr:row>
      <xdr:rowOff>83820</xdr:rowOff>
    </xdr:from>
    <xdr:to>
      <xdr:col>18</xdr:col>
      <xdr:colOff>160020</xdr:colOff>
      <xdr:row>19</xdr:row>
      <xdr:rowOff>176347</xdr:rowOff>
    </xdr:to>
    <xdr:sp macro="" textlink="">
      <xdr:nvSpPr>
        <xdr:cNvPr id="60" name="Rectangle: Rounded Corners 59">
          <a:extLst>
            <a:ext uri="{FF2B5EF4-FFF2-40B4-BE49-F238E27FC236}">
              <a16:creationId xmlns:a16="http://schemas.microsoft.com/office/drawing/2014/main" id="{612B371A-0885-4881-A342-974DF0A8A894}"/>
            </a:ext>
          </a:extLst>
        </xdr:cNvPr>
        <xdr:cNvSpPr/>
      </xdr:nvSpPr>
      <xdr:spPr>
        <a:xfrm>
          <a:off x="7315200" y="2278380"/>
          <a:ext cx="3817620" cy="1372687"/>
        </a:xfrm>
        <a:prstGeom prst="roundRect">
          <a:avLst>
            <a:gd name="adj" fmla="val 11207"/>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1">
            <a:solidFill>
              <a:schemeClr val="bg1"/>
            </a:solidFill>
          </a:endParaRPr>
        </a:p>
      </xdr:txBody>
    </xdr:sp>
    <xdr:clientData/>
  </xdr:twoCellAnchor>
  <xdr:twoCellAnchor>
    <xdr:from>
      <xdr:col>12</xdr:col>
      <xdr:colOff>22860</xdr:colOff>
      <xdr:row>12</xdr:row>
      <xdr:rowOff>137160</xdr:rowOff>
    </xdr:from>
    <xdr:to>
      <xdr:col>18</xdr:col>
      <xdr:colOff>297180</xdr:colOff>
      <xdr:row>20</xdr:row>
      <xdr:rowOff>121920</xdr:rowOff>
    </xdr:to>
    <xdr:graphicFrame macro="">
      <xdr:nvGraphicFramePr>
        <xdr:cNvPr id="56" name="Chart 55">
          <a:extLst>
            <a:ext uri="{FF2B5EF4-FFF2-40B4-BE49-F238E27FC236}">
              <a16:creationId xmlns:a16="http://schemas.microsoft.com/office/drawing/2014/main" id="{228414F4-F186-4F57-B99B-A5EF22751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190500</xdr:colOff>
      <xdr:row>13</xdr:row>
      <xdr:rowOff>30480</xdr:rowOff>
    </xdr:from>
    <xdr:to>
      <xdr:col>23</xdr:col>
      <xdr:colOff>91440</xdr:colOff>
      <xdr:row>31</xdr:row>
      <xdr:rowOff>7620</xdr:rowOff>
    </xdr:to>
    <xdr:graphicFrame macro="">
      <xdr:nvGraphicFramePr>
        <xdr:cNvPr id="62" name="Chart 61">
          <a:extLst>
            <a:ext uri="{FF2B5EF4-FFF2-40B4-BE49-F238E27FC236}">
              <a16:creationId xmlns:a16="http://schemas.microsoft.com/office/drawing/2014/main" id="{477F5FC5-FF51-4EA9-B875-A61C284CE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15240</xdr:colOff>
      <xdr:row>12</xdr:row>
      <xdr:rowOff>167640</xdr:rowOff>
    </xdr:from>
    <xdr:to>
      <xdr:col>13</xdr:col>
      <xdr:colOff>124099</xdr:colOff>
      <xdr:row>13</xdr:row>
      <xdr:rowOff>144780</xdr:rowOff>
    </xdr:to>
    <xdr:sp macro="" textlink="">
      <xdr:nvSpPr>
        <xdr:cNvPr id="63" name="Rectangle: Rounded Corners 62">
          <a:extLst>
            <a:ext uri="{FF2B5EF4-FFF2-40B4-BE49-F238E27FC236}">
              <a16:creationId xmlns:a16="http://schemas.microsoft.com/office/drawing/2014/main" id="{C510BEBA-2E8C-4965-A2D0-AC824DE390E1}"/>
            </a:ext>
          </a:extLst>
        </xdr:cNvPr>
        <xdr:cNvSpPr/>
      </xdr:nvSpPr>
      <xdr:spPr>
        <a:xfrm>
          <a:off x="7940040" y="2362200"/>
          <a:ext cx="108859" cy="160020"/>
        </a:xfrm>
        <a:prstGeom prst="roundRect">
          <a:avLst/>
        </a:prstGeom>
        <a:blipFill>
          <a:blip xmlns:r="http://schemas.openxmlformats.org/officeDocument/2006/relationships" r:embed="rId7"/>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6</xdr:col>
      <xdr:colOff>137160</xdr:colOff>
      <xdr:row>12</xdr:row>
      <xdr:rowOff>53340</xdr:rowOff>
    </xdr:from>
    <xdr:to>
      <xdr:col>10</xdr:col>
      <xdr:colOff>152400</xdr:colOff>
      <xdr:row>14</xdr:row>
      <xdr:rowOff>53332</xdr:rowOff>
    </xdr:to>
    <xdr:sp macro="" textlink="Analysis!I7">
      <xdr:nvSpPr>
        <xdr:cNvPr id="64" name="TextBox 63">
          <a:extLst>
            <a:ext uri="{FF2B5EF4-FFF2-40B4-BE49-F238E27FC236}">
              <a16:creationId xmlns:a16="http://schemas.microsoft.com/office/drawing/2014/main" id="{8EFA8CD8-B637-421B-99A4-ACA0292E2605}"/>
            </a:ext>
          </a:extLst>
        </xdr:cNvPr>
        <xdr:cNvSpPr txBox="1"/>
      </xdr:nvSpPr>
      <xdr:spPr>
        <a:xfrm>
          <a:off x="3794760" y="2247900"/>
          <a:ext cx="2453640" cy="36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bg1"/>
              </a:solidFill>
              <a:effectLst/>
            </a:rPr>
            <a:t>Total By Comany &amp; people</a:t>
          </a:r>
          <a:endParaRPr lang="en-US" sz="1600" b="1">
            <a:solidFill>
              <a:schemeClr val="bg1"/>
            </a:solidFill>
            <a:effectLst/>
          </a:endParaRPr>
        </a:p>
      </xdr:txBody>
    </xdr:sp>
    <xdr:clientData/>
  </xdr:twoCellAnchor>
  <xdr:twoCellAnchor>
    <xdr:from>
      <xdr:col>4</xdr:col>
      <xdr:colOff>335280</xdr:colOff>
      <xdr:row>20</xdr:row>
      <xdr:rowOff>22860</xdr:rowOff>
    </xdr:from>
    <xdr:to>
      <xdr:col>10</xdr:col>
      <xdr:colOff>160020</xdr:colOff>
      <xdr:row>22</xdr:row>
      <xdr:rowOff>22852</xdr:rowOff>
    </xdr:to>
    <xdr:sp macro="" textlink="Analysis!I7">
      <xdr:nvSpPr>
        <xdr:cNvPr id="65" name="TextBox 64">
          <a:extLst>
            <a:ext uri="{FF2B5EF4-FFF2-40B4-BE49-F238E27FC236}">
              <a16:creationId xmlns:a16="http://schemas.microsoft.com/office/drawing/2014/main" id="{DC4D141D-8784-4F4C-99F1-572E50C62736}"/>
            </a:ext>
          </a:extLst>
        </xdr:cNvPr>
        <xdr:cNvSpPr txBox="1"/>
      </xdr:nvSpPr>
      <xdr:spPr>
        <a:xfrm>
          <a:off x="2773680" y="3680460"/>
          <a:ext cx="3482340" cy="36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bg1"/>
              </a:solidFill>
              <a:effectLst/>
            </a:rPr>
            <a:t>Count &amp; Precnage By Request Status</a:t>
          </a:r>
          <a:endParaRPr lang="en-US" sz="1600" b="1">
            <a:solidFill>
              <a:schemeClr val="bg1"/>
            </a:solidFill>
            <a:effectLst/>
          </a:endParaRPr>
        </a:p>
      </xdr:txBody>
    </xdr:sp>
    <xdr:clientData/>
  </xdr:twoCellAnchor>
  <xdr:twoCellAnchor>
    <xdr:from>
      <xdr:col>12</xdr:col>
      <xdr:colOff>563880</xdr:colOff>
      <xdr:row>20</xdr:row>
      <xdr:rowOff>38100</xdr:rowOff>
    </xdr:from>
    <xdr:to>
      <xdr:col>16</xdr:col>
      <xdr:colOff>281940</xdr:colOff>
      <xdr:row>22</xdr:row>
      <xdr:rowOff>38092</xdr:rowOff>
    </xdr:to>
    <xdr:sp macro="" textlink="Analysis!I7">
      <xdr:nvSpPr>
        <xdr:cNvPr id="66" name="TextBox 65">
          <a:extLst>
            <a:ext uri="{FF2B5EF4-FFF2-40B4-BE49-F238E27FC236}">
              <a16:creationId xmlns:a16="http://schemas.microsoft.com/office/drawing/2014/main" id="{5A27E026-CAC2-421A-8157-58A387303ECF}"/>
            </a:ext>
          </a:extLst>
        </xdr:cNvPr>
        <xdr:cNvSpPr txBox="1"/>
      </xdr:nvSpPr>
      <xdr:spPr>
        <a:xfrm>
          <a:off x="7879080" y="3695700"/>
          <a:ext cx="2156460" cy="36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bg1"/>
              </a:solidFill>
              <a:effectLst/>
            </a:rPr>
            <a:t>Reveune By Category</a:t>
          </a:r>
          <a:endParaRPr lang="en-US" sz="1600" b="1">
            <a:solidFill>
              <a:schemeClr val="bg1"/>
            </a:solidFill>
            <a:effectLst/>
          </a:endParaRPr>
        </a:p>
      </xdr:txBody>
    </xdr:sp>
    <xdr:clientData/>
  </xdr:twoCellAnchor>
  <xdr:twoCellAnchor>
    <xdr:from>
      <xdr:col>19</xdr:col>
      <xdr:colOff>30480</xdr:colOff>
      <xdr:row>12</xdr:row>
      <xdr:rowOff>38100</xdr:rowOff>
    </xdr:from>
    <xdr:to>
      <xdr:col>22</xdr:col>
      <xdr:colOff>358140</xdr:colOff>
      <xdr:row>14</xdr:row>
      <xdr:rowOff>38092</xdr:rowOff>
    </xdr:to>
    <xdr:sp macro="" textlink="Analysis!I7">
      <xdr:nvSpPr>
        <xdr:cNvPr id="67" name="TextBox 66">
          <a:extLst>
            <a:ext uri="{FF2B5EF4-FFF2-40B4-BE49-F238E27FC236}">
              <a16:creationId xmlns:a16="http://schemas.microsoft.com/office/drawing/2014/main" id="{F2DA69BB-8E68-47E1-BC10-D800BE4DD912}"/>
            </a:ext>
          </a:extLst>
        </xdr:cNvPr>
        <xdr:cNvSpPr txBox="1"/>
      </xdr:nvSpPr>
      <xdr:spPr>
        <a:xfrm>
          <a:off x="11612880" y="2232660"/>
          <a:ext cx="2156460" cy="365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bg1"/>
              </a:solidFill>
              <a:effectLst/>
            </a:rPr>
            <a:t>Reveune By Colors</a:t>
          </a:r>
          <a:endParaRPr lang="en-US" sz="1600" b="1">
            <a:solidFill>
              <a:schemeClr val="bg1"/>
            </a:solidFill>
            <a:effectLst/>
          </a:endParaRPr>
        </a:p>
      </xdr:txBody>
    </xdr:sp>
    <xdr:clientData/>
  </xdr:twoCellAnchor>
  <xdr:twoCellAnchor>
    <xdr:from>
      <xdr:col>19</xdr:col>
      <xdr:colOff>175260</xdr:colOff>
      <xdr:row>12</xdr:row>
      <xdr:rowOff>144780</xdr:rowOff>
    </xdr:from>
    <xdr:to>
      <xdr:col>19</xdr:col>
      <xdr:colOff>284119</xdr:colOff>
      <xdr:row>13</xdr:row>
      <xdr:rowOff>121920</xdr:rowOff>
    </xdr:to>
    <xdr:sp macro="" textlink="">
      <xdr:nvSpPr>
        <xdr:cNvPr id="68" name="Rectangle: Rounded Corners 67">
          <a:extLst>
            <a:ext uri="{FF2B5EF4-FFF2-40B4-BE49-F238E27FC236}">
              <a16:creationId xmlns:a16="http://schemas.microsoft.com/office/drawing/2014/main" id="{FF70C0FE-8ED5-4B67-99DE-D5F2F8414AA8}"/>
            </a:ext>
          </a:extLst>
        </xdr:cNvPr>
        <xdr:cNvSpPr/>
      </xdr:nvSpPr>
      <xdr:spPr>
        <a:xfrm>
          <a:off x="11757660" y="2339340"/>
          <a:ext cx="108859" cy="160020"/>
        </a:xfrm>
        <a:prstGeom prst="roundRect">
          <a:avLst/>
        </a:prstGeom>
        <a:blipFill>
          <a:blip xmlns:r="http://schemas.openxmlformats.org/officeDocument/2006/relationships" r:embed="rId7"/>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12</xdr:col>
      <xdr:colOff>563880</xdr:colOff>
      <xdr:row>20</xdr:row>
      <xdr:rowOff>152400</xdr:rowOff>
    </xdr:from>
    <xdr:to>
      <xdr:col>13</xdr:col>
      <xdr:colOff>63139</xdr:colOff>
      <xdr:row>21</xdr:row>
      <xdr:rowOff>129540</xdr:rowOff>
    </xdr:to>
    <xdr:sp macro="" textlink="">
      <xdr:nvSpPr>
        <xdr:cNvPr id="69" name="Rectangle: Rounded Corners 68">
          <a:extLst>
            <a:ext uri="{FF2B5EF4-FFF2-40B4-BE49-F238E27FC236}">
              <a16:creationId xmlns:a16="http://schemas.microsoft.com/office/drawing/2014/main" id="{F1BE0977-FE04-42BF-A93B-77105E5D71C2}"/>
            </a:ext>
          </a:extLst>
        </xdr:cNvPr>
        <xdr:cNvSpPr/>
      </xdr:nvSpPr>
      <xdr:spPr>
        <a:xfrm>
          <a:off x="7879080" y="3810000"/>
          <a:ext cx="108859" cy="160020"/>
        </a:xfrm>
        <a:prstGeom prst="roundRect">
          <a:avLst/>
        </a:prstGeom>
        <a:blipFill>
          <a:blip xmlns:r="http://schemas.openxmlformats.org/officeDocument/2006/relationships" r:embed="rId7"/>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4</xdr:col>
      <xdr:colOff>373380</xdr:colOff>
      <xdr:row>20</xdr:row>
      <xdr:rowOff>129540</xdr:rowOff>
    </xdr:from>
    <xdr:to>
      <xdr:col>4</xdr:col>
      <xdr:colOff>482239</xdr:colOff>
      <xdr:row>21</xdr:row>
      <xdr:rowOff>106680</xdr:rowOff>
    </xdr:to>
    <xdr:sp macro="" textlink="">
      <xdr:nvSpPr>
        <xdr:cNvPr id="70" name="Rectangle: Rounded Corners 69">
          <a:extLst>
            <a:ext uri="{FF2B5EF4-FFF2-40B4-BE49-F238E27FC236}">
              <a16:creationId xmlns:a16="http://schemas.microsoft.com/office/drawing/2014/main" id="{FBAD467F-7B1C-4BBE-90E3-2DAD90F026A6}"/>
            </a:ext>
          </a:extLst>
        </xdr:cNvPr>
        <xdr:cNvSpPr/>
      </xdr:nvSpPr>
      <xdr:spPr>
        <a:xfrm>
          <a:off x="2811780" y="3787140"/>
          <a:ext cx="108859" cy="160020"/>
        </a:xfrm>
        <a:prstGeom prst="roundRect">
          <a:avLst/>
        </a:prstGeom>
        <a:blipFill>
          <a:blip xmlns:r="http://schemas.openxmlformats.org/officeDocument/2006/relationships" r:embed="rId7"/>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xdr:from>
      <xdr:col>6</xdr:col>
      <xdr:colOff>167640</xdr:colOff>
      <xdr:row>14</xdr:row>
      <xdr:rowOff>0</xdr:rowOff>
    </xdr:from>
    <xdr:to>
      <xdr:col>10</xdr:col>
      <xdr:colOff>83820</xdr:colOff>
      <xdr:row>14</xdr:row>
      <xdr:rowOff>0</xdr:rowOff>
    </xdr:to>
    <xdr:cxnSp macro="">
      <xdr:nvCxnSpPr>
        <xdr:cNvPr id="71" name="Straight Connector 70">
          <a:extLst>
            <a:ext uri="{FF2B5EF4-FFF2-40B4-BE49-F238E27FC236}">
              <a16:creationId xmlns:a16="http://schemas.microsoft.com/office/drawing/2014/main" id="{B71CA8ED-B199-40A1-81CC-88ECE434A6AF}"/>
            </a:ext>
          </a:extLst>
        </xdr:cNvPr>
        <xdr:cNvCxnSpPr/>
      </xdr:nvCxnSpPr>
      <xdr:spPr>
        <a:xfrm>
          <a:off x="3825240" y="2560320"/>
          <a:ext cx="2354580" cy="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190500</xdr:colOff>
      <xdr:row>14</xdr:row>
      <xdr:rowOff>7620</xdr:rowOff>
    </xdr:from>
    <xdr:to>
      <xdr:col>17</xdr:col>
      <xdr:colOff>30480</xdr:colOff>
      <xdr:row>14</xdr:row>
      <xdr:rowOff>22860</xdr:rowOff>
    </xdr:to>
    <xdr:cxnSp macro="">
      <xdr:nvCxnSpPr>
        <xdr:cNvPr id="72" name="Straight Connector 71">
          <a:extLst>
            <a:ext uri="{FF2B5EF4-FFF2-40B4-BE49-F238E27FC236}">
              <a16:creationId xmlns:a16="http://schemas.microsoft.com/office/drawing/2014/main" id="{EDB6D196-F193-406D-AF90-8AC3F119EB9D}"/>
            </a:ext>
          </a:extLst>
        </xdr:cNvPr>
        <xdr:cNvCxnSpPr/>
      </xdr:nvCxnSpPr>
      <xdr:spPr>
        <a:xfrm>
          <a:off x="8115300" y="2567940"/>
          <a:ext cx="2278380" cy="1524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502920</xdr:colOff>
      <xdr:row>21</xdr:row>
      <xdr:rowOff>160020</xdr:rowOff>
    </xdr:from>
    <xdr:to>
      <xdr:col>9</xdr:col>
      <xdr:colOff>571500</xdr:colOff>
      <xdr:row>21</xdr:row>
      <xdr:rowOff>167640</xdr:rowOff>
    </xdr:to>
    <xdr:cxnSp macro="">
      <xdr:nvCxnSpPr>
        <xdr:cNvPr id="75" name="Straight Connector 74">
          <a:extLst>
            <a:ext uri="{FF2B5EF4-FFF2-40B4-BE49-F238E27FC236}">
              <a16:creationId xmlns:a16="http://schemas.microsoft.com/office/drawing/2014/main" id="{9E000BCB-2133-48D9-81A8-D03C497AC020}"/>
            </a:ext>
          </a:extLst>
        </xdr:cNvPr>
        <xdr:cNvCxnSpPr/>
      </xdr:nvCxnSpPr>
      <xdr:spPr>
        <a:xfrm>
          <a:off x="2941320" y="4000500"/>
          <a:ext cx="3116580" cy="762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106680</xdr:colOff>
      <xdr:row>21</xdr:row>
      <xdr:rowOff>175260</xdr:rowOff>
    </xdr:from>
    <xdr:to>
      <xdr:col>16</xdr:col>
      <xdr:colOff>167640</xdr:colOff>
      <xdr:row>22</xdr:row>
      <xdr:rowOff>7620</xdr:rowOff>
    </xdr:to>
    <xdr:cxnSp macro="">
      <xdr:nvCxnSpPr>
        <xdr:cNvPr id="80" name="Straight Connector 79">
          <a:extLst>
            <a:ext uri="{FF2B5EF4-FFF2-40B4-BE49-F238E27FC236}">
              <a16:creationId xmlns:a16="http://schemas.microsoft.com/office/drawing/2014/main" id="{700035F8-C549-42ED-B101-567887264772}"/>
            </a:ext>
          </a:extLst>
        </xdr:cNvPr>
        <xdr:cNvCxnSpPr/>
      </xdr:nvCxnSpPr>
      <xdr:spPr>
        <a:xfrm>
          <a:off x="8031480" y="4015740"/>
          <a:ext cx="1889760" cy="1524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312420</xdr:colOff>
      <xdr:row>13</xdr:row>
      <xdr:rowOff>160020</xdr:rowOff>
    </xdr:from>
    <xdr:to>
      <xdr:col>22</xdr:col>
      <xdr:colOff>106680</xdr:colOff>
      <xdr:row>13</xdr:row>
      <xdr:rowOff>160020</xdr:rowOff>
    </xdr:to>
    <xdr:cxnSp macro="">
      <xdr:nvCxnSpPr>
        <xdr:cNvPr id="82" name="Straight Connector 81">
          <a:extLst>
            <a:ext uri="{FF2B5EF4-FFF2-40B4-BE49-F238E27FC236}">
              <a16:creationId xmlns:a16="http://schemas.microsoft.com/office/drawing/2014/main" id="{07C27149-962D-41C0-A7A5-D5C5255372C2}"/>
            </a:ext>
          </a:extLst>
        </xdr:cNvPr>
        <xdr:cNvCxnSpPr/>
      </xdr:nvCxnSpPr>
      <xdr:spPr>
        <a:xfrm>
          <a:off x="11894820" y="2537460"/>
          <a:ext cx="1623060" cy="0"/>
        </a:xfrm>
        <a:prstGeom prst="line">
          <a:avLst/>
        </a:prstGeom>
        <a:ln w="15875">
          <a:gradFill>
            <a:gsLst>
              <a:gs pos="0">
                <a:srgbClr val="FF0000"/>
              </a:gs>
              <a:gs pos="74000">
                <a:schemeClr val="accent1">
                  <a:lumMod val="45000"/>
                  <a:lumOff val="55000"/>
                </a:schemeClr>
              </a:gs>
              <a:gs pos="9000">
                <a:schemeClr val="accent1">
                  <a:lumMod val="45000"/>
                  <a:lumOff val="55000"/>
                </a:schemeClr>
              </a:gs>
              <a:gs pos="100000">
                <a:schemeClr val="accent1">
                  <a:lumMod val="30000"/>
                  <a:lumOff val="70000"/>
                </a:schemeClr>
              </a:gs>
            </a:gsLst>
            <a:lin ang="5400000" scaled="1"/>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548640</xdr:colOff>
      <xdr:row>12</xdr:row>
      <xdr:rowOff>121920</xdr:rowOff>
    </xdr:from>
    <xdr:to>
      <xdr:col>17</xdr:col>
      <xdr:colOff>137160</xdr:colOff>
      <xdr:row>14</xdr:row>
      <xdr:rowOff>0</xdr:rowOff>
    </xdr:to>
    <xdr:sp macro="" textlink="">
      <xdr:nvSpPr>
        <xdr:cNvPr id="84" name="TextBox 83">
          <a:extLst>
            <a:ext uri="{FF2B5EF4-FFF2-40B4-BE49-F238E27FC236}">
              <a16:creationId xmlns:a16="http://schemas.microsoft.com/office/drawing/2014/main" id="{304E836C-804C-CA37-FDC9-8B5233E230AE}"/>
            </a:ext>
          </a:extLst>
        </xdr:cNvPr>
        <xdr:cNvSpPr txBox="1"/>
      </xdr:nvSpPr>
      <xdr:spPr>
        <a:xfrm>
          <a:off x="7863840" y="2316480"/>
          <a:ext cx="26365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EG" sz="1600" b="1" i="0" baseline="0">
              <a:solidFill>
                <a:schemeClr val="bg1"/>
              </a:solidFill>
              <a:effectLst/>
              <a:latin typeface="+mn-lt"/>
              <a:ea typeface="+mn-ea"/>
              <a:cs typeface="+mn-cs"/>
            </a:rPr>
            <a:t>هل تم التسليم قبل او في الموعد ؟</a:t>
          </a:r>
          <a:endParaRPr lang="en-US" sz="1600" b="1">
            <a:solidFill>
              <a:schemeClr val="bg1"/>
            </a:solidFill>
            <a:effectLst/>
          </a:endParaRPr>
        </a:p>
        <a:p>
          <a:pPr algn="ctr"/>
          <a:endParaRPr lang="en-US" sz="1600" b="1">
            <a:solidFill>
              <a:schemeClr val="bg1"/>
            </a:solidFill>
          </a:endParaRPr>
        </a:p>
      </xdr:txBody>
    </xdr:sp>
    <xdr:clientData/>
  </xdr:twoCellAnchor>
  <xdr:twoCellAnchor>
    <xdr:from>
      <xdr:col>6</xdr:col>
      <xdr:colOff>38100</xdr:colOff>
      <xdr:row>12</xdr:row>
      <xdr:rowOff>167640</xdr:rowOff>
    </xdr:from>
    <xdr:to>
      <xdr:col>6</xdr:col>
      <xdr:colOff>146959</xdr:colOff>
      <xdr:row>13</xdr:row>
      <xdr:rowOff>144780</xdr:rowOff>
    </xdr:to>
    <xdr:sp macro="" textlink="">
      <xdr:nvSpPr>
        <xdr:cNvPr id="86" name="Rectangle: Rounded Corners 85">
          <a:extLst>
            <a:ext uri="{FF2B5EF4-FFF2-40B4-BE49-F238E27FC236}">
              <a16:creationId xmlns:a16="http://schemas.microsoft.com/office/drawing/2014/main" id="{5121DE0A-7043-4D8C-942E-7374A24809E2}"/>
            </a:ext>
          </a:extLst>
        </xdr:cNvPr>
        <xdr:cNvSpPr/>
      </xdr:nvSpPr>
      <xdr:spPr>
        <a:xfrm>
          <a:off x="3695700" y="2362200"/>
          <a:ext cx="108859" cy="160020"/>
        </a:xfrm>
        <a:prstGeom prst="roundRect">
          <a:avLst/>
        </a:prstGeom>
        <a:blipFill>
          <a:blip xmlns:r="http://schemas.openxmlformats.org/officeDocument/2006/relationships" r:embed="rId7"/>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solidFill>
              <a:srgbClr val="F2F2F2"/>
            </a:solidFill>
          </a:endParaRPr>
        </a:p>
      </xdr:txBody>
    </xdr:sp>
    <xdr:clientData/>
  </xdr:twoCellAnchor>
  <xdr:twoCellAnchor editAs="oneCell">
    <xdr:from>
      <xdr:col>0</xdr:col>
      <xdr:colOff>83820</xdr:colOff>
      <xdr:row>9</xdr:row>
      <xdr:rowOff>68580</xdr:rowOff>
    </xdr:from>
    <xdr:to>
      <xdr:col>4</xdr:col>
      <xdr:colOff>68580</xdr:colOff>
      <xdr:row>14</xdr:row>
      <xdr:rowOff>68579</xdr:rowOff>
    </xdr:to>
    <mc:AlternateContent xmlns:mc="http://schemas.openxmlformats.org/markup-compatibility/2006" xmlns:a14="http://schemas.microsoft.com/office/drawing/2010/main">
      <mc:Choice Requires="a14">
        <xdr:graphicFrame macro="">
          <xdr:nvGraphicFramePr>
            <xdr:cNvPr id="88" name="Month Name 1">
              <a:extLst>
                <a:ext uri="{FF2B5EF4-FFF2-40B4-BE49-F238E27FC236}">
                  <a16:creationId xmlns:a16="http://schemas.microsoft.com/office/drawing/2014/main" id="{90BC3204-91BA-4996-9714-AD19E7CDBB1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3820" y="1714500"/>
              <a:ext cx="242316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14</xdr:row>
      <xdr:rowOff>68581</xdr:rowOff>
    </xdr:from>
    <xdr:to>
      <xdr:col>4</xdr:col>
      <xdr:colOff>68580</xdr:colOff>
      <xdr:row>20</xdr:row>
      <xdr:rowOff>144781</xdr:rowOff>
    </xdr:to>
    <mc:AlternateContent xmlns:mc="http://schemas.openxmlformats.org/markup-compatibility/2006" xmlns:a14="http://schemas.microsoft.com/office/drawing/2010/main">
      <mc:Choice Requires="a14">
        <xdr:graphicFrame macro="">
          <xdr:nvGraphicFramePr>
            <xdr:cNvPr id="93" name="المحافظة">
              <a:extLst>
                <a:ext uri="{FF2B5EF4-FFF2-40B4-BE49-F238E27FC236}">
                  <a16:creationId xmlns:a16="http://schemas.microsoft.com/office/drawing/2014/main" id="{E1CBC5F5-E458-035F-7DC8-F983DF43C782}"/>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83820" y="2628901"/>
              <a:ext cx="242316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20</xdr:row>
      <xdr:rowOff>137161</xdr:rowOff>
    </xdr:from>
    <xdr:to>
      <xdr:col>4</xdr:col>
      <xdr:colOff>60960</xdr:colOff>
      <xdr:row>27</xdr:row>
      <xdr:rowOff>160021</xdr:rowOff>
    </xdr:to>
    <mc:AlternateContent xmlns:mc="http://schemas.openxmlformats.org/markup-compatibility/2006" xmlns:a14="http://schemas.microsoft.com/office/drawing/2010/main">
      <mc:Choice Requires="a14">
        <xdr:graphicFrame macro="">
          <xdr:nvGraphicFramePr>
            <xdr:cNvPr id="94" name="منصة البيع">
              <a:extLst>
                <a:ext uri="{FF2B5EF4-FFF2-40B4-BE49-F238E27FC236}">
                  <a16:creationId xmlns:a16="http://schemas.microsoft.com/office/drawing/2014/main" id="{5A3E110A-103C-484D-E554-035B3DD26604}"/>
                </a:ext>
              </a:extLst>
            </xdr:cNvPr>
            <xdr:cNvGraphicFramePr/>
          </xdr:nvGraphicFramePr>
          <xdr:xfrm>
            <a:off x="0" y="0"/>
            <a:ext cx="0" cy="0"/>
          </xdr:xfrm>
          <a:graphic>
            <a:graphicData uri="http://schemas.microsoft.com/office/drawing/2010/slicer">
              <sle:slicer xmlns:sle="http://schemas.microsoft.com/office/drawing/2010/slicer" name="منصة البيع"/>
            </a:graphicData>
          </a:graphic>
        </xdr:graphicFrame>
      </mc:Choice>
      <mc:Fallback xmlns="">
        <xdr:sp macro="" textlink="">
          <xdr:nvSpPr>
            <xdr:cNvPr id="0" name=""/>
            <xdr:cNvSpPr>
              <a:spLocks noTextEdit="1"/>
            </xdr:cNvSpPr>
          </xdr:nvSpPr>
          <xdr:spPr>
            <a:xfrm>
              <a:off x="76200" y="3794761"/>
              <a:ext cx="242316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1111113" backgroundQuery="1" createdVersion="8" refreshedVersion="8" minRefreshableVersion="3" recordCount="0" supportSubquery="1" supportAdvancedDrill="1" xr:uid="{04775171-E2C2-4748-9BD2-F867CEB87A42}">
  <cacheSource type="external" connectionId="3"/>
  <cacheFields count="3">
    <cacheField name="[Measures].[Total Sales]" caption="Total Sales" numFmtId="0" hierarchy="29" level="32767"/>
    <cacheField name="[Date].[TypeWeekday].[TypeWeekday]" caption="TypeWeekday" numFmtId="0" hierarchy="3" level="1">
      <sharedItems count="2">
        <s v="Weekday"/>
        <s v="Weekend"/>
      </sharedItems>
    </cacheField>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2" memberValueDatatype="130" unbalanced="0">
      <fieldsUsage count="2">
        <fieldUsage x="-1"/>
        <fieldUsage x="1"/>
      </fieldsUsage>
    </cacheHierarchy>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1574075" backgroundQuery="1" createdVersion="8" refreshedVersion="8" minRefreshableVersion="3" recordCount="0" supportSubquery="1" supportAdvancedDrill="1" xr:uid="{300C5FE0-A647-47B9-9B03-3F1CA29B653D}">
  <cacheSource type="external" connectionId="3"/>
  <cacheFields count="3">
    <cacheField name="[Measures].[Total Sales]" caption="Total Sales" numFmtId="0" hierarchy="29" level="32767"/>
    <cacheField name="[Table1_1].[طريقه الدفع2].[طريقه الدفع2]" caption="طريقه الدفع2" numFmtId="0" hierarchy="18" level="1">
      <sharedItems count="3">
        <s v="حساب شركه"/>
        <s v="كاش"/>
        <s v="مسبق الدفع"/>
      </sharedItems>
    </cacheField>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2" memberValueDatatype="130" unbalanced="0">
      <fieldsUsage count="2">
        <fieldUsage x="-1"/>
        <fieldUsage x="1"/>
      </fieldsUsage>
    </cacheHierarchy>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2037037" backgroundQuery="1" createdVersion="8" refreshedVersion="8" minRefreshableVersion="3" recordCount="0" supportSubquery="1" supportAdvancedDrill="1" xr:uid="{BB4996A6-C3A3-433E-9AA4-2C5448EFD841}">
  <cacheSource type="external" connectionId="3"/>
  <cacheFields count="15">
    <cacheField name="[Measures].[Total Sales]" caption="Total Sales" numFmtId="0" hierarchy="29" level="32767"/>
    <cacheField name="[Measures].[Previous Month Sales]" caption="Previous Month Sales" numFmtId="0" hierarchy="30" level="32767"/>
    <cacheField name="[Measures].[MoM Growth %]" caption="MoM Growth %" numFmtId="0" hierarchy="31" level="32767"/>
    <cacheField name="[Measures].[Total Customers]" caption="Total Customers" numFmtId="0" hierarchy="32" level="32767"/>
    <cacheField name="[Measures].[Previous Month Customers]" caption="Previous Month Customers" numFmtId="0" hierarchy="33" level="32767"/>
    <cacheField name="[Measures].[Customers Growth %]" caption="Customers Growth %" numFmtId="0" hierarchy="34" level="32767"/>
    <cacheField name="[Measures].[Total Quantity]" caption="Total Quantity" numFmtId="0" hierarchy="35" level="32767"/>
    <cacheField name="[Measures].[Previous Month Quantity]" caption="Previous Month Quantity" numFmtId="0" hierarchy="36" level="32767"/>
    <cacheField name="[Measures].[Quantity Growth %]" caption="Quantity Growth %" numFmtId="0" hierarchy="37" level="32767"/>
    <cacheField name="[Measures].[Average Selling Price]" caption="Average Selling Price" numFmtId="0" hierarchy="38" level="32767"/>
    <cacheField name="[Measures].[Previous Month ASP]" caption="Previous Month ASP" numFmtId="0" hierarchy="39" level="32767"/>
    <cacheField name="[Measures].[ASP Growth %]" caption="ASP Growth %" numFmtId="0" hierarchy="40" level="32767"/>
    <cacheField name="[Measures].[Count Country]" caption="Count Country" numFmtId="0" hierarchy="41" level="32767"/>
    <cacheField name="[Measures].[Sales platforms]" caption="Sales platforms" numFmtId="0" hierarchy="42"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14"/>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oneField="1">
      <fieldsUsage count="1">
        <fieldUsage x="1"/>
      </fieldsUsage>
    </cacheHierarchy>
    <cacheHierarchy uniqueName="[Measures].[MoM Growth %]" caption="MoM Growth %" measure="1" displayFolder="" measureGroup="Table1_1" count="0" oneField="1">
      <fieldsUsage count="1">
        <fieldUsage x="2"/>
      </fieldsUsage>
    </cacheHierarchy>
    <cacheHierarchy uniqueName="[Measures].[Total Customers]" caption="Total Customers" measure="1" displayFolder="" measureGroup="Table1_1" count="0" oneField="1">
      <fieldsUsage count="1">
        <fieldUsage x="3"/>
      </fieldsUsage>
    </cacheHierarchy>
    <cacheHierarchy uniqueName="[Measures].[Previous Month Customers]" caption="Previous Month Customers" measure="1" displayFolder="" measureGroup="Table1_1" count="0" oneField="1">
      <fieldsUsage count="1">
        <fieldUsage x="4"/>
      </fieldsUsage>
    </cacheHierarchy>
    <cacheHierarchy uniqueName="[Measures].[Customers Growth %]" caption="Customers Growth %" measure="1" displayFolder="" measureGroup="Table1_1" count="0" oneField="1">
      <fieldsUsage count="1">
        <fieldUsage x="5"/>
      </fieldsUsage>
    </cacheHierarchy>
    <cacheHierarchy uniqueName="[Measures].[Total Quantity]" caption="Total Quantity" measure="1" displayFolder="" measureGroup="Table1_1" count="0" oneField="1">
      <fieldsUsage count="1">
        <fieldUsage x="6"/>
      </fieldsUsage>
    </cacheHierarchy>
    <cacheHierarchy uniqueName="[Measures].[Previous Month Quantity]" caption="Previous Month Quantity" measure="1" displayFolder="" measureGroup="Table1_1" count="0" oneField="1">
      <fieldsUsage count="1">
        <fieldUsage x="7"/>
      </fieldsUsage>
    </cacheHierarchy>
    <cacheHierarchy uniqueName="[Measures].[Quantity Growth %]" caption="Quantity Growth %" measure="1" displayFolder="" measureGroup="Table1_1" count="0" oneField="1">
      <fieldsUsage count="1">
        <fieldUsage x="8"/>
      </fieldsUsage>
    </cacheHierarchy>
    <cacheHierarchy uniqueName="[Measures].[Average Selling Price]" caption="Average Selling Price" measure="1" displayFolder="" measureGroup="Table1_1" count="0" oneField="1">
      <fieldsUsage count="1">
        <fieldUsage x="9"/>
      </fieldsUsage>
    </cacheHierarchy>
    <cacheHierarchy uniqueName="[Measures].[Previous Month ASP]" caption="Previous Month ASP" measure="1" displayFolder="" measureGroup="Table1_1" count="0" oneField="1">
      <fieldsUsage count="1">
        <fieldUsage x="10"/>
      </fieldsUsage>
    </cacheHierarchy>
    <cacheHierarchy uniqueName="[Measures].[ASP Growth %]" caption="ASP Growth %" measure="1" displayFolder="" measureGroup="Table1_1" count="0" oneField="1">
      <fieldsUsage count="1">
        <fieldUsage x="11"/>
      </fieldsUsage>
    </cacheHierarchy>
    <cacheHierarchy uniqueName="[Measures].[Count Country]" caption="Count Country" measure="1" displayFolder="" measureGroup="Table1_1" count="0" oneField="1">
      <fieldsUsage count="1">
        <fieldUsage x="12"/>
      </fieldsUsage>
    </cacheHierarchy>
    <cacheHierarchy uniqueName="[Measures].[Sales platforms]" caption="Sales platforms" measure="1" displayFolder="" measureGroup="Table1_1" count="0" oneField="1">
      <fieldsUsage count="1">
        <fieldUsage x="13"/>
      </fieldsUsage>
    </cacheHierarchy>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2499999" backgroundQuery="1" createdVersion="8" refreshedVersion="8" minRefreshableVersion="3" recordCount="0" supportSubquery="1" supportAdvancedDrill="1" xr:uid="{6AEF57D3-D627-4CD8-A1B5-A96B2BC497F0}">
  <cacheSource type="external" connectionId="3"/>
  <cacheFields count="3">
    <cacheField name="[Table1_1].[الصنف].[الصنف]" caption="الصنف" numFmtId="0" hierarchy="9" level="1">
      <sharedItems count="6">
        <s v="ترابيزه"/>
        <s v="ركنه"/>
        <s v="سرير"/>
        <s v="شيزلونج"/>
        <s v="كرسى"/>
        <s v="كنبه"/>
      </sharedItems>
    </cacheField>
    <cacheField name="[Measures].[Total Sales]" caption="Total Sales" numFmtId="0" hierarchy="29"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fieldsUsage count="2">
        <fieldUsage x="-1"/>
        <fieldUsage x="0"/>
      </fieldsUsage>
    </cacheHierarchy>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1"/>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2847222" backgroundQuery="1" createdVersion="8" refreshedVersion="8" minRefreshableVersion="3" recordCount="0" supportSubquery="1" supportAdvancedDrill="1" xr:uid="{2959F1D4-CD23-4B64-9500-205CA85D8CC6}">
  <cacheSource type="external" connectionId="3"/>
  <cacheFields count="3">
    <cacheField name="[Table1_1].[نوع العميل].[نوع العميل]" caption="نوع العميل" numFmtId="0" hierarchy="5" level="1">
      <sharedItems count="2">
        <s v="أفراد"/>
        <s v="شركات"/>
      </sharedItems>
    </cacheField>
    <cacheField name="[Measures].[Count of نوع العميل]" caption="Count of نوع العميل" numFmtId="0" hierarchy="52"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fieldsUsage count="2">
        <fieldUsage x="-1"/>
        <fieldUsage x="0"/>
      </fieldsUsage>
    </cacheHierarchy>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3194445" backgroundQuery="1" createdVersion="8" refreshedVersion="8" minRefreshableVersion="3" recordCount="0" supportSubquery="1" supportAdvancedDrill="1" xr:uid="{BA325C7D-E402-40F2-A145-CD1EF14E5647}">
  <cacheSource type="external" connectionId="3"/>
  <cacheFields count="3">
    <cacheField name="[Table1_1].[هل تم التسليم قبل او في الموعد ؟].[هل تم التسليم قبل او في الموعد ؟]" caption="هل تم التسليم قبل او في الموعد ؟" numFmtId="0" hierarchy="24" level="1">
      <sharedItems count="2">
        <s v="لا"/>
        <s v="نعم"/>
      </sharedItems>
    </cacheField>
    <cacheField name="[Measures].[Count of هل تم التسليم قبل او في الموعد ؟]" caption="Count of هل تم التسليم قبل او في الموعد ؟" numFmtId="0" hierarchy="55"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2" memberValueDatatype="130" unbalanced="0">
      <fieldsUsage count="2">
        <fieldUsage x="-1"/>
        <fieldUsage x="0"/>
      </fieldsUsage>
    </cacheHierarchy>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3657407" backgroundQuery="1" createdVersion="8" refreshedVersion="8" minRefreshableVersion="3" recordCount="0" supportSubquery="1" supportAdvancedDrill="1" xr:uid="{794E4111-9E14-498F-A002-B47C24D84D67}">
  <cacheSource type="external" connectionId="3"/>
  <cacheFields count="5">
    <cacheField name="[Measures].[Count of هل تم التسليم قبل او في الموعد ؟]" caption="Count of هل تم التسليم قبل او في الموعد ؟" numFmtId="0" hierarchy="55" level="32767"/>
    <cacheField name="[Measures].[Failed Deliveries Count]" caption="Failed Deliveries Count" numFmtId="0" hierarchy="43" level="32767"/>
    <cacheField name="[Measures].[Returned Revenue]" caption="Returned Revenue" numFmtId="0" hierarchy="44" level="32767"/>
    <cacheField name="[Measures].[Paid Unpaid Delivery Revenue]" caption="Paid Unpaid Delivery Revenue" numFmtId="0" hierarchy="45"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4"/>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oneField="1">
      <fieldsUsage count="1">
        <fieldUsage x="1"/>
      </fieldsUsage>
    </cacheHierarchy>
    <cacheHierarchy uniqueName="[Measures].[Returned Revenue]" caption="Returned Revenue" measure="1" displayFolder="" measureGroup="Table1_1" count="0" oneField="1">
      <fieldsUsage count="1">
        <fieldUsage x="2"/>
      </fieldsUsage>
    </cacheHierarchy>
    <cacheHierarchy uniqueName="[Measures].[Paid Unpaid Delivery Revenue]" caption="Paid Unpaid Delivery Revenue" measure="1" displayFolder="" measureGroup="Table1_1" count="0" oneField="1">
      <fieldsUsage count="1">
        <fieldUsage x="3"/>
      </fieldsUsage>
    </cacheHierarchy>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4004631" backgroundQuery="1" createdVersion="8" refreshedVersion="8" minRefreshableVersion="3" recordCount="0" supportSubquery="1" supportAdvancedDrill="1" xr:uid="{06687548-B5E1-4A13-A4AA-3679BB72C1D7}">
  <cacheSource type="external" connectionId="3"/>
  <cacheFields count="3">
    <cacheField name="[Table1_1].[الحالة].[الحالة]" caption="الحالة" numFmtId="0" hierarchy="26" level="1">
      <sharedItems count="3">
        <s v="تم التسليم"/>
        <s v="فشل التسليم"/>
        <s v="لاغي"/>
      </sharedItems>
    </cacheField>
    <cacheField name="[Measures].[Count of الحالة]" caption="Count of الحالة" numFmtId="0" hierarchy="57"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fieldsUsage count="2">
        <fieldUsage x="-1"/>
        <fieldUsage x="0"/>
      </fieldsUsage>
    </cacheHierarchy>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4236108" backgroundQuery="1" createdVersion="8" refreshedVersion="8" minRefreshableVersion="3" recordCount="0" supportSubquery="1" supportAdvancedDrill="1" xr:uid="{3FCF2A5D-FBEA-4B47-B8DF-2745B161864E}">
  <cacheSource type="external" connectionId="3"/>
  <cacheFields count="2">
    <cacheField name="[Measures].[Count of نوع العميل]" caption="Count of نوع العميل" numFmtId="0" hierarchy="52"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1"/>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4814816" backgroundQuery="1" createdVersion="8" refreshedVersion="8" minRefreshableVersion="3" recordCount="0" supportSubquery="1" supportAdvancedDrill="1" xr:uid="{C70486AC-4170-401F-AA0D-07607E570B53}">
  <cacheSource type="external" connectionId="3"/>
  <cacheFields count="3">
    <cacheField name="[Table1_1].[اللون المعدن].[اللون المعدن]" caption="اللون المعدن" numFmtId="0" hierarchy="13" level="1">
      <sharedItems containsBlank="1" count="12">
        <m/>
        <s v="ابيض"/>
        <s v="ازرق"/>
        <s v="اسود"/>
        <s v="الوان"/>
        <s v="بنفسجى"/>
        <s v="بينك"/>
        <s v="دهبي"/>
        <s v="رمادى"/>
        <s v="غير معروف"/>
        <s v="ملون"/>
        <s v="نبيتى"/>
      </sharedItems>
    </cacheField>
    <cacheField name="[Measures].[Total Sales]" caption="Total Sales" numFmtId="0" hierarchy="29"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2" memberValueDatatype="130" unbalanced="0">
      <fieldsUsage count="2">
        <fieldUsage x="-1"/>
        <fieldUsage x="0"/>
      </fieldsUsage>
    </cacheHierarchy>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1"/>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5393516" backgroundQuery="1" createdVersion="8" refreshedVersion="8" minRefreshableVersion="3" recordCount="0" supportSubquery="1" supportAdvancedDrill="1" xr:uid="{36FF60F1-02DF-4C38-A59D-BE4897991B69}">
  <cacheSource type="external" connectionId="3"/>
  <cacheFields count="4">
    <cacheField name="[Table1_1].[اللون المعدن].[اللون المعدن]" caption="اللون المعدن" numFmtId="0" hierarchy="13" level="1">
      <sharedItems containsBlank="1" count="14">
        <m/>
        <s v="ابيض"/>
        <s v="ازرق"/>
        <s v="اسزد"/>
        <s v="اسود"/>
        <s v="اسود وبنى"/>
        <s v="الوان"/>
        <s v="بنفسجى"/>
        <s v="بينك"/>
        <s v="دهبي"/>
        <s v="رمادى"/>
        <s v="غير معروف"/>
        <s v="ملون"/>
        <s v="نبيتى"/>
      </sharedItems>
    </cacheField>
    <cacheField name="[Measures].[Total Sales]" caption="Total Sales" numFmtId="0" hierarchy="29" level="32767"/>
    <cacheField name="[Table1_1].[لون القماش].[لون القماش]" caption="لون القماش" numFmtId="0" hierarchy="14" level="1">
      <sharedItems containsBlank="1" count="13">
        <m/>
        <s v="ابيض"/>
        <s v="ابيض في بنى غامق"/>
        <s v="اسود"/>
        <s v="بترولى"/>
        <s v="بنى غامق"/>
        <s v="بيج"/>
        <s v="خشب بنى فاتح"/>
        <s v="رصاصي مشجر"/>
        <s v="رمادى"/>
        <s v="روك ١٠"/>
        <s v="غير معروف"/>
        <s v="نبيتى"/>
      </sharedItems>
    </cacheField>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3"/>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2" memberValueDatatype="130" unbalanced="0">
      <fieldsUsage count="2">
        <fieldUsage x="-1"/>
        <fieldUsage x="0"/>
      </fieldsUsage>
    </cacheHierarchy>
    <cacheHierarchy uniqueName="[Table1_1].[لون القماش]" caption="لون القماش" attribute="1" defaultMemberUniqueName="[Table1_1].[لون القماش].[All]" allUniqueName="[Table1_1].[لون القماش].[All]" dimensionUniqueName="[Table1_1]" displayFolder="" count="2" memberValueDatatype="130" unbalanced="0">
      <fieldsUsage count="2">
        <fieldUsage x="-1"/>
        <fieldUsage x="2"/>
      </fieldsUsage>
    </cacheHierarchy>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1"/>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5856478" backgroundQuery="1" createdVersion="8" refreshedVersion="8" minRefreshableVersion="3" recordCount="0" supportSubquery="1" supportAdvancedDrill="1" xr:uid="{D8468655-C6D2-4E1A-A030-86ED83971475}">
  <cacheSource type="external" connectionId="3"/>
  <cacheFields count="3">
    <cacheField name="[Table1_1].[منصة البيع].[منصة البيع]" caption="منصة البيع" numFmtId="0" hierarchy="8" level="1">
      <sharedItems count="7">
        <s v="اوسكار رتان"/>
        <s v="تاكى"/>
        <s v="شيك هومز"/>
        <s v="فيس بوك"/>
        <s v="كيمت"/>
        <s v="منزلى"/>
        <s v="هومزمارت"/>
      </sharedItems>
    </cacheField>
    <cacheField name="[Measures].[Total Sales]" caption="Total Sales" numFmtId="0" hierarchy="29"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fieldsUsage count="2">
        <fieldUsage x="-1"/>
        <fieldUsage x="0"/>
      </fieldsUsage>
    </cacheHierarchy>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1"/>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6319447" backgroundQuery="1" createdVersion="8" refreshedVersion="8" minRefreshableVersion="3" recordCount="0" supportSubquery="1" supportAdvancedDrill="1" xr:uid="{67CD98EC-0507-48B7-A98F-37E6FB2F2907}">
  <cacheSource type="external" connectionId="3"/>
  <cacheFields count="2">
    <cacheField name="[Measures].[Total Sales]" caption="Total Sales" numFmtId="0" hierarchy="29" level="32767"/>
    <cacheField name="[Table1_1].[المحافظة].[المحافظة]" caption="المحافظة" numFmtId="0" hierarchy="7" level="1">
      <sharedItems count="9">
        <s v="اسيوط"/>
        <s v="الإسكندرية"/>
        <s v="البحر الأحمر"/>
        <s v="الجيزة"/>
        <s v="الجيزه"/>
        <s v="السويس"/>
        <s v="القاهرة"/>
        <s v="القليوبية"/>
        <s v="مطروح"/>
      </sharedItems>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1"/>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6782409" backgroundQuery="1" createdVersion="8" refreshedVersion="8" minRefreshableVersion="3" recordCount="0" supportSubquery="1" supportAdvancedDrill="1" xr:uid="{9C24B773-02BF-463A-B95C-BDD430B7B5EB}">
  <cacheSource type="external" connectionId="3"/>
  <cacheFields count="4">
    <cacheField name="[Measures].[Total Sales]" caption="Total Sales" numFmtId="0" hierarchy="29" level="32767"/>
    <cacheField name="[Table1_1].[نوع العميل].[نوع العميل]" caption="نوع العميل" numFmtId="0" hierarchy="5" level="1">
      <sharedItems count="2">
        <s v="أفراد"/>
        <s v="شركات"/>
      </sharedItems>
    </cacheField>
    <cacheField name="[Measures].[Count of نوع العميل]" caption="Count of نوع العميل" numFmtId="0" hierarchy="52" level="32767"/>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fieldsUsage count="2">
        <fieldUsage x="-1"/>
        <fieldUsage x="1"/>
      </fieldsUsage>
    </cacheHierarchy>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3"/>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7129633" backgroundQuery="1" createdVersion="8" refreshedVersion="8" minRefreshableVersion="3" recordCount="0" supportSubquery="1" supportAdvancedDrill="1" xr:uid="{E4170985-2D74-4631-917B-FACDD250BA76}">
  <cacheSource type="external" connectionId="3"/>
  <cacheFields count="3">
    <cacheField name="[Measures].[Total Sales]" caption="Total Sales" numFmtId="0" hierarchy="29" level="32767"/>
    <cacheField name="[Date].[Month Name].[Month Name]" caption="Month Name" numFmtId="0" hierarchy="1" level="1">
      <sharedItems count="6">
        <s v="Aug"/>
        <s v="Dec"/>
        <s v="Jul"/>
        <s v="Nov"/>
        <s v="Oct"/>
        <s v="Sep"/>
      </sharedItems>
    </cacheField>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31017592594" backgroundQuery="1" createdVersion="8" refreshedVersion="8" minRefreshableVersion="3" recordCount="0" supportSubquery="1" supportAdvancedDrill="1" xr:uid="{F20B2936-CAEF-4693-8EE0-A4A5F1C60FA2}">
  <cacheSource type="external" connectionId="3"/>
  <cacheFields count="3">
    <cacheField name="[Measures].[Total Sales]" caption="Total Sales" numFmtId="0" hierarchy="29" level="32767"/>
    <cacheField name="[Date].[Day Name].[Day Name]" caption="Day Name" numFmtId="0" hierarchy="2" level="1">
      <sharedItems count="7">
        <s v="Fri"/>
        <s v="Mon"/>
        <s v="Sat"/>
        <s v="Sun"/>
        <s v="Thu"/>
        <s v="Tue"/>
        <s v="Wed"/>
      </sharedItems>
    </cacheField>
    <cacheField name="[Table1_1].[المحافظة].[المحافظة]" caption="المحافظة" numFmtId="0" hierarchy="7" level="1">
      <sharedItems containsSemiMixedTypes="0" containsNonDate="0" containsString="0"/>
    </cacheField>
  </cacheFields>
  <cacheHierarchies count="5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1"/>
      </fieldsUsage>
    </cacheHierarchy>
    <cacheHierarchy uniqueName="[Date].[TypeWeekday]" caption="TypeWeekday" attribute="1" defaultMemberUniqueName="[Date].[TypeWeekday].[All]" allUniqueName="[Date].[TypeWeekday].[All]" dimensionUniqueName="[Date]" displayFolder="" count="0" memberValueDatatype="130" unbalanced="0"/>
    <cacheHierarchy uniqueName="[Table1_1].[أسم العميل]" caption="أسم العميل" attribute="1" defaultMemberUniqueName="[Table1_1].[أسم العميل].[All]" allUniqueName="[Table1_1].[أسم العميل].[All]" dimensionUniqueName="[Table1_1]" displayFolder="" count="0"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0"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fieldsUsage count="2">
        <fieldUsage x="-1"/>
        <fieldUsage x="2"/>
      </fieldsUsage>
    </cacheHierarchy>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0" memberValueDatatype="130" unbalanced="0"/>
    <cacheHierarchy uniqueName="[Table1_1].[الاسم]" caption="الاسم" attribute="1" defaultMemberUniqueName="[Table1_1].[الاسم].[All]" allUniqueName="[Table1_1].[الاسم].[All]" dimensionUniqueName="[Table1_1]" displayFolder="" count="0" memberValueDatatype="130" unbalanced="0"/>
    <cacheHierarchy uniqueName="[Table1_1].[المقاس]" caption="المقاس" attribute="1" defaultMemberUniqueName="[Table1_1].[المقاس].[All]" allUniqueName="[Table1_1].[المقاس].[All]" dimensionUniqueName="[Table1_1]" displayFolder="" count="0"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0" memberValueDatatype="130" unbalanced="0"/>
    <cacheHierarchy uniqueName="[Table1_1].[لون القماش]" caption="لون القماش" attribute="1" defaultMemberUniqueName="[Table1_1].[لون القماش].[All]" allUniqueName="[Table1_1].[لون القماش].[All]" dimensionUniqueName="[Table1_1]" displayFolder="" count="0" memberValueDatatype="130" unbalanced="0"/>
    <cacheHierarchy uniqueName="[Table1_1].[الكميه]" caption="الكميه" attribute="1" defaultMemberUniqueName="[Table1_1].[الكميه].[All]" allUniqueName="[Table1_1].[الكميه].[All]" dimensionUniqueName="[Table1_1]" displayFolder="" count="0" memberValueDatatype="20" unbalanced="0"/>
    <cacheHierarchy uniqueName="[Table1_1].[المنتج]" caption="المنتج" attribute="1" defaultMemberUniqueName="[Table1_1].[المنتج].[All]" allUniqueName="[Table1_1].[المنتج].[All]" dimensionUniqueName="[Table1_1]" displayFolder="" count="0" memberValueDatatype="130" unbalanced="0"/>
    <cacheHierarchy uniqueName="[Table1_1].[سعر البيع]" caption="سعر البيع" attribute="1" defaultMemberUniqueName="[Table1_1].[سعر البيع].[All]" allUniqueName="[Table1_1].[سعر البيع].[All]" dimensionUniqueName="[Table1_1]" displayFolder="" count="0"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0"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0"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0"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0" memberValueDatatype="7" unbalanced="0"/>
    <cacheHierarchy uniqueName="[Table1_1].[الشهر]" caption="الشهر" attribute="1" defaultMemberUniqueName="[Table1_1].[الشهر].[All]" allUniqueName="[Table1_1].[الشهر].[All]" dimensionUniqueName="[Table1_1]" displayFolder="" count="0"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0"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0"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0"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0" memberValueDatatype="20" unbalanced="0"/>
    <cacheHierarchy uniqueName="[Measures].[Total Sales]" caption="Total Sales" measure="1" displayFolder="" measureGroup="Table1_1" count="0" oneField="1">
      <fieldsUsage count="1">
        <fieldUsage x="0"/>
      </fieldsUsage>
    </cacheHierarchy>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5"/>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2"/>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5"/>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4"/>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3"/>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6"/>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8"/>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248261111112" backgroundQuery="1" createdVersion="3" refreshedVersion="8" minRefreshableVersion="3" recordCount="0" supportSubquery="1" supportAdvancedDrill="1" xr:uid="{41C9A641-607F-48C9-B631-035D520807FA}">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Date].[TypeWeekday]" caption="TypeWeekday" attribute="1" defaultMemberUniqueName="[Date].[TypeWeekday].[All]" allUniqueName="[Date].[TypeWeekday].[All]" dimensionUniqueName="[Dat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أسم العميل]" caption="أسم العميل" attribute="1" defaultMemberUniqueName="[Table1_1].[أسم العميل].[All]" allUniqueName="[Table1_1].[أسم العميل].[All]" dimensionUniqueName="[Table1_1]" displayFolder="" count="2"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2"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2" memberValueDatatype="130" unbalanced="0"/>
    <cacheHierarchy uniqueName="[Table1_1].[الاسم]" caption="الاسم" attribute="1" defaultMemberUniqueName="[Table1_1].[الاسم].[All]" allUniqueName="[Table1_1].[الاسم].[All]" dimensionUniqueName="[Table1_1]" displayFolder="" count="2" memberValueDatatype="130" unbalanced="0"/>
    <cacheHierarchy uniqueName="[Table1_1].[المقاس]" caption="المقاس" attribute="1" defaultMemberUniqueName="[Table1_1].[المقاس].[All]" allUniqueName="[Table1_1].[المقاس].[All]" dimensionUniqueName="[Table1_1]" displayFolder="" count="2"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2" memberValueDatatype="130" unbalanced="0"/>
    <cacheHierarchy uniqueName="[Table1_1].[لون القماش]" caption="لون القماش" attribute="1" defaultMemberUniqueName="[Table1_1].[لون القماش].[All]" allUniqueName="[Table1_1].[لون القماش].[All]" dimensionUniqueName="[Table1_1]" displayFolder="" count="2" memberValueDatatype="130" unbalanced="0"/>
    <cacheHierarchy uniqueName="[Table1_1].[الكميه]" caption="الكميه" attribute="1" defaultMemberUniqueName="[Table1_1].[الكميه].[All]" allUniqueName="[Table1_1].[الكميه].[All]" dimensionUniqueName="[Table1_1]" displayFolder="" count="2" memberValueDatatype="20" unbalanced="0"/>
    <cacheHierarchy uniqueName="[Table1_1].[المنتج]" caption="المنتج" attribute="1" defaultMemberUniqueName="[Table1_1].[المنتج].[All]" allUniqueName="[Table1_1].[المنتج].[All]" dimensionUniqueName="[Table1_1]" displayFolder="" count="2" memberValueDatatype="130" unbalanced="0"/>
    <cacheHierarchy uniqueName="[Table1_1].[سعر البيع]" caption="سعر البيع" attribute="1" defaultMemberUniqueName="[Table1_1].[سعر البيع].[All]" allUniqueName="[Table1_1].[سعر البيع].[All]" dimensionUniqueName="[Table1_1]" displayFolder="" count="2"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2"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2"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2"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2" memberValueDatatype="7" unbalanced="0"/>
    <cacheHierarchy uniqueName="[Table1_1].[الشهر]" caption="الشهر" attribute="1" defaultMemberUniqueName="[Table1_1].[الشهر].[All]" allUniqueName="[Table1_1].[الشهر].[All]" dimensionUniqueName="[Table1_1]" displayFolder="" count="2"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2"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2"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2"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2"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6"/>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3"/>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6"/>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5"/>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4"/>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7"/>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9"/>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licerData="1" pivotCacheId="90678580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9.311360648149" backgroundQuery="1" createdVersion="3" refreshedVersion="8" minRefreshableVersion="3" recordCount="0" supportSubquery="1" supportAdvancedDrill="1" xr:uid="{F02413CA-A6C2-492F-85B8-E86E7A1F025F}">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Date].[TypeWeekday]" caption="TypeWeekday" attribute="1" defaultMemberUniqueName="[Date].[TypeWeekday].[All]" allUniqueName="[Date].[TypeWeekday].[All]" dimensionUniqueName="[Dat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أسم العميل]" caption="أسم العميل" attribute="1" defaultMemberUniqueName="[Table1_1].[أسم العميل].[All]" allUniqueName="[Table1_1].[أسم العميل].[All]" dimensionUniqueName="[Table1_1]" displayFolder="" count="2" memberValueDatatype="130" unbalanced="0"/>
    <cacheHierarchy uniqueName="[Table1_1].[نوع العميل]" caption="نوع العميل" attribute="1" defaultMemberUniqueName="[Table1_1].[نوع العميل].[All]" allUniqueName="[Table1_1].[نوع العميل].[All]" dimensionUniqueName="[Table1_1]" displayFolder="" count="2" memberValueDatatype="130" unbalanced="0"/>
    <cacheHierarchy uniqueName="[Table1_1].[العنوان]" caption="العنوان" attribute="1" defaultMemberUniqueName="[Table1_1].[العنوان].[All]" allUniqueName="[Table1_1].[العنوان].[All]" dimensionUniqueName="[Table1_1]" displayFolder="" count="2" memberValueDatatype="130" unbalanced="0"/>
    <cacheHierarchy uniqueName="[Table1_1].[المحافظة]" caption="المحافظة" attribute="1" defaultMemberUniqueName="[Table1_1].[المحافظة].[All]" allUniqueName="[Table1_1].[المحافظة].[All]" dimensionUniqueName="[Table1_1]" displayFolder="" count="2" memberValueDatatype="130" unbalanced="0"/>
    <cacheHierarchy uniqueName="[Table1_1].[منصة البيع]" caption="منصة البيع" attribute="1" defaultMemberUniqueName="[Table1_1].[منصة البيع].[All]" allUniqueName="[Table1_1].[منصة البيع].[All]" dimensionUniqueName="[Table1_1]" displayFolder="" count="2" memberValueDatatype="130" unbalanced="0"/>
    <cacheHierarchy uniqueName="[Table1_1].[الصنف]" caption="الصنف" attribute="1" defaultMemberUniqueName="[Table1_1].[الصنف].[All]" allUniqueName="[Table1_1].[الصنف].[All]" dimensionUniqueName="[Table1_1]" displayFolder="" count="2" memberValueDatatype="130" unbalanced="0"/>
    <cacheHierarchy uniqueName="[Table1_1].[النوع]" caption="النوع" attribute="1" defaultMemberUniqueName="[Table1_1].[النوع].[All]" allUniqueName="[Table1_1].[النوع].[All]" dimensionUniqueName="[Table1_1]" displayFolder="" count="2" memberValueDatatype="130" unbalanced="0"/>
    <cacheHierarchy uniqueName="[Table1_1].[الاسم]" caption="الاسم" attribute="1" defaultMemberUniqueName="[Table1_1].[الاسم].[All]" allUniqueName="[Table1_1].[الاسم].[All]" dimensionUniqueName="[Table1_1]" displayFolder="" count="2" memberValueDatatype="130" unbalanced="0"/>
    <cacheHierarchy uniqueName="[Table1_1].[المقاس]" caption="المقاس" attribute="1" defaultMemberUniqueName="[Table1_1].[المقاس].[All]" allUniqueName="[Table1_1].[المقاس].[All]" dimensionUniqueName="[Table1_1]" displayFolder="" count="2" memberValueDatatype="130" unbalanced="0"/>
    <cacheHierarchy uniqueName="[Table1_1].[اللون المعدن]" caption="اللون المعدن" attribute="1" defaultMemberUniqueName="[Table1_1].[اللون المعدن].[All]" allUniqueName="[Table1_1].[اللون المعدن].[All]" dimensionUniqueName="[Table1_1]" displayFolder="" count="2" memberValueDatatype="130" unbalanced="0"/>
    <cacheHierarchy uniqueName="[Table1_1].[لون القماش]" caption="لون القماش" attribute="1" defaultMemberUniqueName="[Table1_1].[لون القماش].[All]" allUniqueName="[Table1_1].[لون القماش].[All]" dimensionUniqueName="[Table1_1]" displayFolder="" count="2" memberValueDatatype="130" unbalanced="0"/>
    <cacheHierarchy uniqueName="[Table1_1].[الكميه]" caption="الكميه" attribute="1" defaultMemberUniqueName="[Table1_1].[الكميه].[All]" allUniqueName="[Table1_1].[الكميه].[All]" dimensionUniqueName="[Table1_1]" displayFolder="" count="2" memberValueDatatype="20" unbalanced="0"/>
    <cacheHierarchy uniqueName="[Table1_1].[المنتج]" caption="المنتج" attribute="1" defaultMemberUniqueName="[Table1_1].[المنتج].[All]" allUniqueName="[Table1_1].[المنتج].[All]" dimensionUniqueName="[Table1_1]" displayFolder="" count="2" memberValueDatatype="130" unbalanced="0"/>
    <cacheHierarchy uniqueName="[Table1_1].[سعر البيع]" caption="سعر البيع" attribute="1" defaultMemberUniqueName="[Table1_1].[سعر البيع].[All]" allUniqueName="[Table1_1].[سعر البيع].[All]" dimensionUniqueName="[Table1_1]" displayFolder="" count="2" memberValueDatatype="5" unbalanced="0"/>
    <cacheHierarchy uniqueName="[Table1_1].[طريقه الدفع2]" caption="طريقه الدفع2" attribute="1" defaultMemberUniqueName="[Table1_1].[طريقه الدفع2].[All]" allUniqueName="[Table1_1].[طريقه الدفع2].[All]" dimensionUniqueName="[Table1_1]" displayFolder="" count="2" memberValueDatatype="130" unbalanced="0"/>
    <cacheHierarchy uniqueName="[Table1_1].[ميعاد التسليم]" caption="ميعاد التسليم" attribute="1" defaultMemberUniqueName="[Table1_1].[ميعاد التسليم].[All]" allUniqueName="[Table1_1].[ميعاد التسليم].[All]" dimensionUniqueName="[Table1_1]" displayFolder="" count="2" memberValueDatatype="130" unbalanced="0"/>
    <cacheHierarchy uniqueName="[Table1_1].[تاريخ التسليم]" caption="تاريخ التسليم" attribute="1" defaultMemberUniqueName="[Table1_1].[تاريخ التسليم].[All]" allUniqueName="[Table1_1].[تاريخ التسليم].[All]" dimensionUniqueName="[Table1_1]" displayFolder="" count="2" memberValueDatatype="130" unbalanced="0"/>
    <cacheHierarchy uniqueName="[Table1_1].[ميعاد الطلب]" caption="ميعاد الطلب" attribute="1" time="1" defaultMemberUniqueName="[Table1_1].[ميعاد الطلب].[All]" allUniqueName="[Table1_1].[ميعاد الطلب].[All]" dimensionUniqueName="[Table1_1]" displayFolder="" count="2" memberValueDatatype="7" unbalanced="0"/>
    <cacheHierarchy uniqueName="[Table1_1].[الشهر]" caption="الشهر" attribute="1" defaultMemberUniqueName="[Table1_1].[الشهر].[All]" allUniqueName="[Table1_1].[الشهر].[All]" dimensionUniqueName="[Table1_1]" displayFolder="" count="2" memberValueDatatype="130" unbalanced="0"/>
    <cacheHierarchy uniqueName="[Table1_1].[مده التسليم(الفعلي)]" caption="مده التسليم(الفعلي)" attribute="1" defaultMemberUniqueName="[Table1_1].[مده التسليم(الفعلي)].[All]" allUniqueName="[Table1_1].[مده التسليم(الفعلي)].[All]" dimensionUniqueName="[Table1_1]" displayFolder="" count="2" memberValueDatatype="20" unbalanced="0"/>
    <cacheHierarchy uniqueName="[Table1_1].[هل تم التسليم قبل او في الموعد ؟]" caption="هل تم التسليم قبل او في الموعد ؟" attribute="1" defaultMemberUniqueName="[Table1_1].[هل تم التسليم قبل او في الموعد ؟].[All]" allUniqueName="[Table1_1].[هل تم التسليم قبل او في الموعد ؟].[All]" dimensionUniqueName="[Table1_1]" displayFolder="" count="2" memberValueDatatype="130" unbalanced="0"/>
    <cacheHierarchy uniqueName="[Table1_1].[المسئول عن التسليم]" caption="المسئول عن التسليم" attribute="1" defaultMemberUniqueName="[Table1_1].[المسئول عن التسليم].[All]" allUniqueName="[Table1_1].[المسئول عن التسليم].[All]" dimensionUniqueName="[Table1_1]" displayFolder="" count="2" memberValueDatatype="130" unbalanced="0"/>
    <cacheHierarchy uniqueName="[Table1_1].[الحالة]" caption="الحالة" attribute="1" defaultMemberUniqueName="[Table1_1].[الحالة].[All]" allUniqueName="[Table1_1].[الحالة].[All]" dimensionUniqueName="[Table1_1]" displayFolder="" count="2" memberValueDatatype="130" unbalanced="0"/>
    <cacheHierarchy uniqueName="[Table1_1].[اتسلم؟]" caption="اتسلم؟" attribute="1" defaultMemberUniqueName="[Table1_1].[اتسلم؟].[All]" allUniqueName="[Table1_1].[اتسلم؟].[All]" dimensionUniqueName="[Table1_1]" displayFolder="" count="2" memberValueDatatype="130" unbalanced="0"/>
    <cacheHierarchy uniqueName="[Table1_1].[مده التسليم (االهدف)]" caption="مده التسليم (االهدف)" attribute="1" defaultMemberUniqueName="[Table1_1].[مده التسليم (االهدف)].[All]" allUniqueName="[Table1_1].[مده التسليم (االهدف)].[All]" dimensionUniqueName="[Table1_1]" displayFolder="" count="2" memberValueDatatype="20" unbalanced="0"/>
    <cacheHierarchy uniqueName="[Measures].[Total Sales]" caption="Total Sales" measure="1" displayFolder="" measureGroup="Table1_1" count="0"/>
    <cacheHierarchy uniqueName="[Measures].[Previous Month Sales]" caption="Previous Month Sales" measure="1" displayFolder="" measureGroup="Table1_1" count="0"/>
    <cacheHierarchy uniqueName="[Measures].[MoM Growth %]" caption="MoM Growth %" measure="1" displayFolder="" measureGroup="Table1_1" count="0"/>
    <cacheHierarchy uniqueName="[Measures].[Total Customers]" caption="Total Customers" measure="1" displayFolder="" measureGroup="Table1_1" count="0"/>
    <cacheHierarchy uniqueName="[Measures].[Previous Month Customers]" caption="Previous Month Customers" measure="1" displayFolder="" measureGroup="Table1_1" count="0"/>
    <cacheHierarchy uniqueName="[Measures].[Customers Growth %]" caption="Customers Growth %" measure="1" displayFolder="" measureGroup="Table1_1" count="0"/>
    <cacheHierarchy uniqueName="[Measures].[Total Quantity]" caption="Total Quantity" measure="1" displayFolder="" measureGroup="Table1_1" count="0"/>
    <cacheHierarchy uniqueName="[Measures].[Previous Month Quantity]" caption="Previous Month Quantity" measure="1" displayFolder="" measureGroup="Table1_1" count="0"/>
    <cacheHierarchy uniqueName="[Measures].[Quantity Growth %]" caption="Quantity Growth %" measure="1" displayFolder="" measureGroup="Table1_1" count="0"/>
    <cacheHierarchy uniqueName="[Measures].[Average Selling Price]" caption="Average Selling Price" measure="1" displayFolder="" measureGroup="Table1_1" count="0"/>
    <cacheHierarchy uniqueName="[Measures].[Previous Month ASP]" caption="Previous Month ASP" measure="1" displayFolder="" measureGroup="Table1_1" count="0"/>
    <cacheHierarchy uniqueName="[Measures].[ASP Growth %]" caption="ASP Growth %" measure="1" displayFolder="" measureGroup="Table1_1" count="0"/>
    <cacheHierarchy uniqueName="[Measures].[Count Country]" caption="Count Country" measure="1" displayFolder="" measureGroup="Table1_1" count="0"/>
    <cacheHierarchy uniqueName="[Measures].[Sales platforms]" caption="Sales platforms" measure="1" displayFolder="" measureGroup="Table1_1" count="0"/>
    <cacheHierarchy uniqueName="[Measures].[Failed Deliveries Count]" caption="Failed Deliveries Count" measure="1" displayFolder="" measureGroup="Table1_1" count="0"/>
    <cacheHierarchy uniqueName="[Measures].[Returned Revenue]" caption="Returned Revenue" measure="1" displayFolder="" measureGroup="Table1_1" count="0"/>
    <cacheHierarchy uniqueName="[Measures].[Paid Unpaid Delivery Revenue]" caption="Paid Unpaid Delivery Revenue" measure="1" displayFolder="" measureGroup="Table1_1" count="0"/>
    <cacheHierarchy uniqueName="[Measures].[On-Time Delivery %]" caption="On-Time Delivery %" measure="1" displayFolder="" measureGroup="Table1_1" count="0"/>
    <cacheHierarchy uniqueName="[Measures].[Total_Orders]" caption="Total_Orders" measure="1" displayFolder="" measureGroup="Table1_1" count="0"/>
    <cacheHierarchy uniqueName="[Measures].[=On-Time Delivery 1%]" caption="=On-Time Delivery 1%" measure="1" displayFolder="" measureGroup="Table1_1" count="0"/>
    <cacheHierarchy uniqueName="[Measures].[__XL_Count Table1_1]" caption="__XL_Count Table1_1" measure="1" displayFolder="" measureGroup="Table1_1"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نوع العميل]" caption="Count of نوع العميل" measure="1" displayFolder="" measureGroup="Table1_1" count="0" hidden="1">
      <extLst>
        <ext xmlns:x15="http://schemas.microsoft.com/office/spreadsheetml/2010/11/main" uri="{B97F6D7D-B522-45F9-BDA1-12C45D357490}">
          <x15:cacheHierarchy aggregatedColumn="6"/>
        </ext>
      </extLst>
    </cacheHierarchy>
    <cacheHierarchy uniqueName="[Measures].[Count of المقاس]" caption="Count of المقاس" measure="1" displayFolder="" measureGroup="Table1_1" count="0" hidden="1">
      <extLst>
        <ext xmlns:x15="http://schemas.microsoft.com/office/spreadsheetml/2010/11/main" uri="{B97F6D7D-B522-45F9-BDA1-12C45D357490}">
          <x15:cacheHierarchy aggregatedColumn="13"/>
        </ext>
      </extLst>
    </cacheHierarchy>
    <cacheHierarchy uniqueName="[Measures].[Sum of الكميه]" caption="Sum of الكميه" measure="1" displayFolder="" measureGroup="Table1_1" count="0" hidden="1">
      <extLst>
        <ext xmlns:x15="http://schemas.microsoft.com/office/spreadsheetml/2010/11/main" uri="{B97F6D7D-B522-45F9-BDA1-12C45D357490}">
          <x15:cacheHierarchy aggregatedColumn="16"/>
        </ext>
      </extLst>
    </cacheHierarchy>
    <cacheHierarchy uniqueName="[Measures].[Count of هل تم التسليم قبل او في الموعد ؟]" caption="Count of هل تم التسليم قبل او في الموعد ؟" measure="1" displayFolder="" measureGroup="Table1_1" count="0" hidden="1">
      <extLst>
        <ext xmlns:x15="http://schemas.microsoft.com/office/spreadsheetml/2010/11/main" uri="{B97F6D7D-B522-45F9-BDA1-12C45D357490}">
          <x15:cacheHierarchy aggregatedColumn="25"/>
        </ext>
      </extLst>
    </cacheHierarchy>
    <cacheHierarchy uniqueName="[Measures].[Sum of مده التسليم(الفعلي)]" caption="Sum of مده التسليم(الفعلي)" measure="1" displayFolder="" measureGroup="Table1_1" count="0" hidden="1">
      <extLst>
        <ext xmlns:x15="http://schemas.microsoft.com/office/spreadsheetml/2010/11/main" uri="{B97F6D7D-B522-45F9-BDA1-12C45D357490}">
          <x15:cacheHierarchy aggregatedColumn="24"/>
        </ext>
      </extLst>
    </cacheHierarchy>
    <cacheHierarchy uniqueName="[Measures].[Count of الحالة]" caption="Count of الحالة" measure="1" displayFolder="" measureGroup="Table1_1" count="0" hidden="1">
      <extLst>
        <ext xmlns:x15="http://schemas.microsoft.com/office/spreadsheetml/2010/11/main" uri="{B97F6D7D-B522-45F9-BDA1-12C45D357490}">
          <x15:cacheHierarchy aggregatedColumn="27"/>
        </ext>
      </extLst>
    </cacheHierarchy>
    <cacheHierarchy uniqueName="[Measures].[Sum of مده التسليم (االهدف)]" caption="Sum of مده التسليم (االهدف)" measure="1" displayFolder="" measureGroup="Table1_1" count="0" hidden="1">
      <extLst>
        <ext xmlns:x15="http://schemas.microsoft.com/office/spreadsheetml/2010/11/main" uri="{B97F6D7D-B522-45F9-BDA1-12C45D357490}">
          <x15:cacheHierarchy aggregatedColumn="29"/>
        </ext>
      </extLst>
    </cacheHierarchy>
  </cacheHierarchies>
  <kpis count="0"/>
  <dimensions count="3">
    <dimension name="Date" uniqueName="[Date]" caption="Date"/>
    <dimension measure="1" name="Measures" uniqueName="[Measures]" caption="Measures"/>
    <dimension name="Table1_1" uniqueName="[Table1_1]" caption="Table1_1"/>
  </dimensions>
  <measureGroups count="2">
    <measureGroup name="Date" caption="Date"/>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licerData="1" pivotCacheId="21146331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A47B5-2E7A-4188-B94C-4771DD8BF98C}" name="PivotTable9" cacheId="15" applyNumberFormats="0" applyBorderFormats="0" applyFontFormats="0" applyPatternFormats="0" applyAlignmentFormats="0" applyWidthHeightFormats="1" dataCaption="Values" tag="682afed3-83c8-4843-a96d-c3b19a2095e3" updatedVersion="8" minRefreshableVersion="3" useAutoFormatting="1" subtotalHiddenItems="1" rowGrandTotals="0" colGrandTotals="0" itemPrintTitles="1" createdVersion="8" indent="0" outline="1" outlineData="1" multipleFieldFilters="0">
  <location ref="BH6:BI13"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39EE1-4772-45AB-8924-64F5F2B83282}" name="PivotTable22" cacheId="5" applyNumberFormats="0" applyBorderFormats="0" applyFontFormats="0" applyPatternFormats="0" applyAlignmentFormats="0" applyWidthHeightFormats="1" dataCaption="Values" tag="5fa6ad4d-955b-40e2-9070-3cb0bdfa9f12" updatedVersion="8" minRefreshableVersion="3" useAutoFormatting="1" subtotalHiddenItems="1" rowGrandTotals="0" colGrandTotals="0" itemPrintTitles="1" createdVersion="8" indent="0" outline="1" outlineData="1" multipleFieldFilters="0">
  <location ref="DE6:DF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هل تم التسليم قبل او في الموعد ؟" fld="1"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A2EB1-A15B-4358-B3ED-552E0A2BB869}" name="PivotTable29" cacheId="10" applyNumberFormats="0" applyBorderFormats="0" applyFontFormats="0" applyPatternFormats="0" applyAlignmentFormats="0" applyWidthHeightFormats="1" dataCaption="Values" tag="68c7adbc-ac0a-4d25-943c-e29e53dd6332" updatedVersion="8" minRefreshableVersion="3" useAutoFormatting="1" subtotalHiddenItems="1" rowGrandTotals="0" colGrandTotals="0" itemPrintTitles="1" createdVersion="8" indent="0" outline="1" outlineData="1" multipleFieldFilters="0" chartFormat="23">
  <location ref="ED7:EE20" firstHeaderRow="1" firstDataRow="1" firstDataCol="1"/>
  <pivotFields count="4">
    <pivotField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3">
    <i>
      <x/>
    </i>
    <i>
      <x v="9"/>
    </i>
    <i>
      <x v="11"/>
    </i>
    <i>
      <x v="3"/>
    </i>
    <i>
      <x v="4"/>
    </i>
    <i>
      <x v="12"/>
    </i>
    <i>
      <x v="5"/>
    </i>
    <i>
      <x v="1"/>
    </i>
    <i>
      <x v="6"/>
    </i>
    <i>
      <x v="2"/>
    </i>
    <i>
      <x v="8"/>
    </i>
    <i>
      <x v="10"/>
    </i>
    <i>
      <x v="7"/>
    </i>
  </rowItems>
  <colItems count="1">
    <i/>
  </colItems>
  <dataFields count="1">
    <dataField fld="1"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5422D-9E94-461C-9DB4-92475EFFDC95}" name="PivotTable2" cacheId="2" applyNumberFormats="0" applyBorderFormats="0" applyFontFormats="0" applyPatternFormats="0" applyAlignmentFormats="0" applyWidthHeightFormats="1" dataCaption="Values" tag="daa4f6be-1264-4a6a-b0b4-620c1da92cfe" updatedVersion="8" minRefreshableVersion="3" useAutoFormatting="1" subtotalHiddenItems="1" itemPrintTitles="1" createdVersion="8" indent="0" outline="1" outlineData="1" multipleFieldFilters="0">
  <location ref="F7:S8"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AA24A4-6015-4475-A8AD-F76B58420BFD}" name="PivotTable28" cacheId="9" applyNumberFormats="0" applyBorderFormats="0" applyFontFormats="0" applyPatternFormats="0" applyAlignmentFormats="0" applyWidthHeightFormats="1" dataCaption="Values" tag="409606ca-978f-44fa-87f6-385a87d21a76" updatedVersion="8" minRefreshableVersion="3" useAutoFormatting="1" subtotalHiddenItems="1" rowGrandTotals="0" colGrandTotals="0" itemPrintTitles="1" createdVersion="8" indent="0" outline="1" outlineData="1" multipleFieldFilters="0" chartFormat="23">
  <location ref="DV6:DW18"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v="11"/>
    </i>
    <i>
      <x v="10"/>
    </i>
    <i>
      <x v="7"/>
    </i>
    <i>
      <x v="5"/>
    </i>
    <i>
      <x v="6"/>
    </i>
    <i>
      <x v="2"/>
    </i>
    <i>
      <x v="4"/>
    </i>
    <i>
      <x v="9"/>
    </i>
    <i>
      <x v="8"/>
    </i>
    <i>
      <x/>
    </i>
    <i>
      <x v="1"/>
    </i>
    <i>
      <x v="3"/>
    </i>
  </rowItems>
  <colItems count="1">
    <i/>
  </colItems>
  <dataFields count="1">
    <dataField fld="1"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665DDE-E33A-4927-BE45-60BAD6058CE8}" name="PivotTable6" cacheId="14" applyNumberFormats="0" applyBorderFormats="0" applyFontFormats="0" applyPatternFormats="0" applyAlignmentFormats="0" applyWidthHeightFormats="1" dataCaption="Values" tag="51833513-c6d0-4a6d-856b-539e85b25cb1" updatedVersion="8" minRefreshableVersion="3" useAutoFormatting="1" subtotalHiddenItems="1" rowGrandTotals="0" colGrandTotals="0" itemPrintTitles="1" createdVersion="8" indent="0" outline="1" outlineData="1" multipleFieldFilters="0">
  <location ref="BA6:BB12" firstHeaderRow="1" firstDataRow="1" firstDataCol="1"/>
  <pivotFields count="3">
    <pivotField dataField="1" subtotalTop="0" showAll="0" defaultSubtotal="0"/>
    <pivotField axis="axisRow" allDrilled="1" subtotalTop="0" showAll="0" sortType="ascending" defaultSubtotal="0" defaultAttributeDrillState="1">
      <items count="6">
        <item x="2"/>
        <item x="0"/>
        <item x="5"/>
        <item x="4"/>
        <item x="3"/>
        <item x="1"/>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fld="0" subtotal="count" baseField="0" baseItem="0" numFmtId="165"/>
  </dataFields>
  <formats count="1">
    <format dxfId="0">
      <pivotArea outline="0" collapsedLevelsAreSubtotals="1" fieldPosition="0"/>
    </format>
  </format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DE072E-663A-4A9B-9FD7-0AAC735EF373}" name="PivotTable21" cacheId="4" applyNumberFormats="0" applyBorderFormats="0" applyFontFormats="0" applyPatternFormats="0" applyAlignmentFormats="0" applyWidthHeightFormats="1" dataCaption="Values" tag="afc19c6d-a330-425f-99db-13b9978caa7a" updatedVersion="8" minRefreshableVersion="3" useAutoFormatting="1" subtotalHiddenItems="1" rowGrandTotals="0" colGrandTotals="0" itemPrintTitles="1" createdVersion="8" indent="0" outline="1" outlineData="1" multipleFieldFilters="0">
  <location ref="CU6:CV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نوع العميل" fld="1"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870B6-6407-4D05-B99F-BCE3C110E61E}" name="PivotTable25" cacheId="8" applyNumberFormats="0" applyBorderFormats="0" applyFontFormats="0" applyPatternFormats="0" applyAlignmentFormats="0" applyWidthHeightFormats="1" dataCaption="Values" tag="b23e2c22-46fd-41c1-a8db-f7116f20add1" updatedVersion="8" minRefreshableVersion="3" useAutoFormatting="1" subtotalHiddenItems="1" rowGrandTotals="0" colGrandTotals="0" itemPrintTitles="1" createdVersion="8" indent="0" outline="1" outlineData="1" multipleFieldFilters="0">
  <location ref="CU11:CU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نوع العميل" fld="0"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67A6D5-7BBA-41E6-B16A-F85B64746CCD}" name="PivotTable5" cacheId="13" applyNumberFormats="0" applyBorderFormats="0" applyFontFormats="0" applyPatternFormats="0" applyAlignmentFormats="0" applyWidthHeightFormats="1" dataCaption="Values" tag="c631090f-9e19-41ba-a92a-c9c794b9e339" updatedVersion="8" minRefreshableVersion="3" useAutoFormatting="1" subtotalHiddenItems="1" rowGrandTotals="0" colGrandTotals="0" itemPrintTitles="1" createdVersion="8" indent="0" outline="1" outlineData="1" multipleFieldFilters="0">
  <location ref="AS6:AU8"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2"/>
  </colFields>
  <colItems count="2">
    <i>
      <x/>
    </i>
    <i i="1">
      <x v="1"/>
    </i>
  </colItems>
  <dataFields count="2">
    <dataField fld="0" subtotal="count" baseField="0" baseItem="0"/>
    <dataField name="Count of نوع العميل" fld="2"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B3EA04-9C27-434C-9247-8B3B90B24906}" name="PivotTable20" cacheId="3" applyNumberFormats="0" applyBorderFormats="0" applyFontFormats="0" applyPatternFormats="0" applyAlignmentFormats="0" applyWidthHeightFormats="1" dataCaption="Values" tag="542a7fbe-9fa4-4eab-9cd2-417f6fcd04de" updatedVersion="8" minRefreshableVersion="3" useAutoFormatting="1" subtotalHiddenItems="1" rowGrandTotals="0" colGrandTotals="0" itemPrintTitles="1" createdVersion="8" indent="0" outline="1" outlineData="1" multipleFieldFilters="0">
  <location ref="CL6:CM1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5"/>
    </i>
    <i>
      <x/>
    </i>
    <i>
      <x v="1"/>
    </i>
    <i>
      <x v="3"/>
    </i>
    <i>
      <x v="4"/>
    </i>
  </rowItems>
  <colItems count="1">
    <i/>
  </colItems>
  <dataFields count="1">
    <dataField fld="1"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684D0E-DB88-48E3-88CD-34732C8CCA7A}" name="PivotTable4" cacheId="12" applyNumberFormats="0" applyBorderFormats="0" applyFontFormats="0" applyPatternFormats="0" applyAlignmentFormats="0" applyWidthHeightFormats="1" dataCaption="Values" tag="522c0658-8dbb-4856-8659-c025cb63555c" updatedVersion="8" minRefreshableVersion="3" useAutoFormatting="1" subtotalHiddenItems="1" rowGrandTotals="0" colGrandTotals="0" itemPrintTitles="1" createdVersion="8" indent="0" outline="1" outlineData="1" multipleFieldFilters="0">
  <location ref="AH6:AI15"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9">
    <i>
      <x v="6"/>
    </i>
    <i>
      <x v="3"/>
    </i>
    <i>
      <x v="2"/>
    </i>
    <i>
      <x v="7"/>
    </i>
    <i>
      <x v="1"/>
    </i>
    <i>
      <x v="5"/>
    </i>
    <i>
      <x v="8"/>
    </i>
    <i>
      <x v="4"/>
    </i>
    <i>
      <x/>
    </i>
  </rowItems>
  <colItems count="1">
    <i/>
  </colItems>
  <dataFields count="1">
    <dataField fld="0"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7A3B6E-0B00-4E75-8BD6-738282898F63}" name="PivotTable19" cacheId="1" applyNumberFormats="0" applyBorderFormats="0" applyFontFormats="0" applyPatternFormats="0" applyAlignmentFormats="0" applyWidthHeightFormats="1" dataCaption="Values" tag="0f94eb9b-a0e3-4a3e-aa3e-a6d72a6d9de1" updatedVersion="8" minRefreshableVersion="3" useAutoFormatting="1" subtotalHiddenItems="1" rowGrandTotals="0" colGrandTotals="0" itemPrintTitles="1" createdVersion="8" indent="0" outline="1" outlineData="1" multipleFieldFilters="0">
  <location ref="BW6:BX9"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EEE5E7-80EA-4308-9BC1-5A3472D8A42B}" name="PivotTable24" cacheId="7" applyNumberFormats="0" applyBorderFormats="0" applyFontFormats="0" applyPatternFormats="0" applyAlignmentFormats="0" applyWidthHeightFormats="1" dataCaption="Values" tag="03864285-ec81-40ad-b285-f504366ad0d2" updatedVersion="8" minRefreshableVersion="3" useAutoFormatting="1" subtotalHiddenItems="1" rowGrandTotals="0" colGrandTotals="0" itemPrintTitles="1" createdVersion="8" indent="0" outline="1" outlineData="1" multipleFieldFilters="0" chartFormat="23">
  <location ref="DM20:DN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الحالة" fld="1" subtotal="count" baseField="0" baseItem="0"/>
  </dataField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0" count="1" selected="0">
            <x v="0"/>
          </reference>
        </references>
      </pivotArea>
    </chartFormat>
    <chartFormat chart="22" format="7">
      <pivotArea type="data" outline="0" fieldPosition="0">
        <references count="2">
          <reference field="4294967294" count="1" selected="0">
            <x v="0"/>
          </reference>
          <reference field="0" count="1" selected="0">
            <x v="1"/>
          </reference>
        </references>
      </pivotArea>
    </chartFormat>
    <chartFormat chart="22" format="8">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C6CBC1-B250-41A7-A4D3-04509B171F6A}" name="PivotTable10" cacheId="0" applyNumberFormats="0" applyBorderFormats="0" applyFontFormats="0" applyPatternFormats="0" applyAlignmentFormats="0" applyWidthHeightFormats="1" dataCaption="Values" tag="bcf074c7-096c-4fcd-9945-44dcb55c3ccc" updatedVersion="8" minRefreshableVersion="3" useAutoFormatting="1" subtotalHiddenItems="1" rowGrandTotals="0" colGrandTotals="0" itemPrintTitles="1" createdVersion="8" indent="0" outline="1" outlineData="1" multipleFieldFilters="0">
  <location ref="BL6:BM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4FC256-2112-46B3-B4A0-B5FD06A06775}" name="PivotTable3" cacheId="11" applyNumberFormats="0" applyBorderFormats="0" applyFontFormats="0" applyPatternFormats="0" applyAlignmentFormats="0" applyWidthHeightFormats="1" dataCaption="Values" tag="da3a1f35-eca7-4556-90bc-d24cd761c824" updatedVersion="8" minRefreshableVersion="3" useAutoFormatting="1" subtotalHiddenItems="1" rowGrandTotals="0" colGrandTotals="0" itemPrintTitles="1" createdVersion="8" indent="0" outline="1" outlineData="1" multipleFieldFilters="0" chartFormat="5">
  <location ref="Y6:Z13"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5"/>
    </i>
    <i>
      <x v="3"/>
    </i>
    <i>
      <x/>
    </i>
    <i>
      <x v="1"/>
    </i>
    <i>
      <x v="2"/>
    </i>
    <i>
      <x v="6"/>
    </i>
  </rowItems>
  <colItems count="1">
    <i/>
  </colItems>
  <dataFields count="1">
    <dataField fld="1" subtotal="count" baseField="0" baseItem="0"/>
  </dataFields>
  <formats count="1">
    <format dxfId="1">
      <pivotArea dataOnly="0"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5D375A-B8C7-43E1-BFAC-2FEB61524F00}" name="PivotTable23" cacheId="6" applyNumberFormats="0" applyBorderFormats="0" applyFontFormats="0" applyPatternFormats="0" applyAlignmentFormats="0" applyWidthHeightFormats="1" dataCaption="Values" tag="eb0c540a-e7ff-4da0-b1ae-ded920010532" updatedVersion="8" minRefreshableVersion="3" useAutoFormatting="1" subtotalHiddenItems="1" itemPrintTitles="1" createdVersion="8" indent="0" outline="1" outlineData="1" multipleFieldFilters="0">
  <location ref="DM6:DP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هل تم التسليم قبل او في الموعد ؟" fld="0" subtotal="count" baseField="0" baseItem="0"/>
    <dataField fld="1" subtotal="count" baseField="0" baseItem="0"/>
    <dataField fld="2" subtotal="count" baseField="0" baseItem="0" numFmtId="165"/>
    <dataField fld="3" subtotal="count" baseField="0" baseItem="0" numFmtId="165"/>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Hierarchies count="5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3E489B8-A00E-451E-B8D2-5367FF00669F}" sourceName="[Date].[Month Name]">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906785803">
      <levels count="2">
        <level uniqueName="[Date].[Month Name].[(All)]" sourceCaption="(All)" count="0"/>
        <level uniqueName="[Date].[Month Name].[Month Name]" sourceCaption="Month Name" count="6">
          <ranges>
            <range startItem="0">
              <i n="[Date].[Month Name].&amp;[Aug]" c="Aug"/>
              <i n="[Date].[Month Name].&amp;[Dec]" c="Dec"/>
              <i n="[Date].[Month Name].&amp;[Jul]" c="Jul"/>
              <i n="[Date].[Month Name].&amp;[Nov]" c="Nov"/>
              <i n="[Date].[Month Name].&amp;[Oct]" c="Oct"/>
              <i n="[Date].[Month Name].&amp;[Sep]" c="Sep"/>
            </range>
          </ranges>
        </level>
      </levels>
      <selections count="1">
        <selection n="[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تسلم؟" xr10:uid="{FAF288A4-166F-4106-9217-D58039E87689}" sourceName="[Table1_1].[اتسلم؟]">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906785803">
      <levels count="2">
        <level uniqueName="[Table1_1].[اتسلم؟].[(All)]" sourceCaption="(All)" count="0"/>
        <level uniqueName="[Table1_1].[اتسلم؟].[اتسلم؟]" sourceCaption="اتسلم؟" count="2">
          <ranges>
            <range startItem="0">
              <i n="[Table1_1].[اتسلم؟].&amp;[No]" c="No"/>
              <i n="[Table1_1].[اتسلم؟].&amp;[Yes]" c="Yes"/>
            </range>
          </ranges>
        </level>
      </levels>
      <selections count="1">
        <selection n="[Table1_1].[اتسلم؟].[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462E8A16-2C39-4AB8-9E90-EA30B273DA8C}" sourceName="[Table1_1].[الحالة]">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906785803">
      <levels count="2">
        <level uniqueName="[Table1_1].[الحالة].[(All)]" sourceCaption="(All)" count="0"/>
        <level uniqueName="[Table1_1].[الحالة].[الحالة]" sourceCaption="الحالة" count="3">
          <ranges>
            <range startItem="0">
              <i n="[Table1_1].[الحالة].&amp;[تم التسليم]" c="تم التسليم"/>
              <i n="[Table1_1].[الحالة].&amp;[فشل التسليم]" c="فشل التسليم"/>
              <i n="[Table1_1].[الحالة].&amp;[لاغي]" c="لاغي"/>
            </range>
          </ranges>
        </level>
      </levels>
      <selections count="1">
        <selection n="[Table1_1].[الحالة].[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 xr10:uid="{4DDE4197-DD62-4C54-B3CB-DFB75105CFCD}" sourceName="[Table1_1].[الصنف]">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906785803">
      <levels count="2">
        <level uniqueName="[Table1_1].[الصنف].[(All)]" sourceCaption="(All)" count="0"/>
        <level uniqueName="[Table1_1].[الصنف].[الصنف]" sourceCaption="الصنف" count="6">
          <ranges>
            <range startItem="0">
              <i n="[Table1_1].[الصنف].&amp;[ترابيزه]" c="ترابيزه"/>
              <i n="[Table1_1].[الصنف].&amp;[ركنه]" c="ركنه"/>
              <i n="[Table1_1].[الصنف].&amp;[سرير]" c="سرير"/>
              <i n="[Table1_1].[الصنف].&amp;[شيزلونج]" c="شيزلونج"/>
              <i n="[Table1_1].[الصنف].&amp;[كرسى]" c="كرسى"/>
              <i n="[Table1_1].[الصنف].&amp;[كنبه]" c="كنبه"/>
            </range>
          </ranges>
        </level>
      </levels>
      <selections count="1">
        <selection n="[Table1_1].[الصنف].[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E8A1C823-739E-4D21-9BD8-96568C44184B}" sourceName="[Table1_1].[نوع العميل]">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906785803">
      <levels count="2">
        <level uniqueName="[Table1_1].[نوع العميل].[(All)]" sourceCaption="(All)" count="0"/>
        <level uniqueName="[Table1_1].[نوع العميل].[نوع العميل]" sourceCaption="نوع العميل" count="2">
          <ranges>
            <range startItem="0">
              <i n="[Table1_1].[نوع العميل].&amp;[أفراد]" c="أفراد"/>
              <i n="[Table1_1].[نوع العميل].&amp;[شركات]" c="شركات"/>
            </range>
          </ranges>
        </level>
      </levels>
      <selections count="1">
        <selection n="[Table1_1].[نوع العميل].[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418746D4-D5E7-4776-9313-BC69B53214D7}" sourceName="[Table1_1].[المحافظة]">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2114633150">
      <levels count="2">
        <level uniqueName="[Table1_1].[المحافظة].[(All)]" sourceCaption="(All)" count="0"/>
        <level uniqueName="[Table1_1].[المحافظة].[المحافظة]" sourceCaption="المحافظة" count="9">
          <ranges>
            <range startItem="0">
              <i n="[Table1_1].[المحافظة].&amp;[اسيوط]" c="اسيوط"/>
              <i n="[Table1_1].[المحافظة].&amp;[الإسكندرية]" c="الإسكندرية"/>
              <i n="[Table1_1].[المحافظة].&amp;[البحر الأحمر]" c="البحر الأحمر"/>
              <i n="[Table1_1].[المحافظة].&amp;[الجيزة]" c="الجيزة"/>
              <i n="[Table1_1].[المحافظة].&amp;[الجيزه]" c="الجيزه"/>
              <i n="[Table1_1].[المحافظة].&amp;[السويس]" c="السويس"/>
              <i n="[Table1_1].[المحافظة].&amp;[القاهرة]" c="القاهرة"/>
              <i n="[Table1_1].[المحافظة].&amp;[القليوبية]" c="القليوبية"/>
              <i n="[Table1_1].[المحافظة].&amp;[مطروح]" c="مطروح"/>
            </range>
          </ranges>
        </level>
      </levels>
      <selections count="1">
        <selection n="[Table1_1].[المحافظة].[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270FC0BF-F516-4140-B7D4-F36CF7393B9F}" sourceName="[Table1_1].[منصة البيع]">
  <pivotTables>
    <pivotTable tabId="3" name="PivotTable10"/>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8"/>
    <pivotTable tabId="3" name="PivotTable29"/>
    <pivotTable tabId="3" name="PivotTable3"/>
    <pivotTable tabId="3" name="PivotTable4"/>
    <pivotTable tabId="3" name="PivotTable5"/>
    <pivotTable tabId="3" name="PivotTable6"/>
    <pivotTable tabId="3" name="PivotTable9"/>
  </pivotTables>
  <data>
    <olap pivotCacheId="2114633150">
      <levels count="2">
        <level uniqueName="[Table1_1].[منصة البيع].[(All)]" sourceCaption="(All)" count="0"/>
        <level uniqueName="[Table1_1].[منصة البيع].[منصة البيع]" sourceCaption="منصة البيع" count="7">
          <ranges>
            <range startItem="0">
              <i n="[Table1_1].[منصة البيع].&amp;[اوسكار رتان]" c="اوسكار رتان"/>
              <i n="[Table1_1].[منصة البيع].&amp;[تاكى]" c="تاكى"/>
              <i n="[Table1_1].[منصة البيع].&amp;[شيك هومز]" c="شيك هومز"/>
              <i n="[Table1_1].[منصة البيع].&amp;[فيس بوك]" c="فيس بوك"/>
              <i n="[Table1_1].[منصة البيع].&amp;[كيمت]" c="كيمت"/>
              <i n="[Table1_1].[منصة البيع].&amp;[منزلى]" c="منزلى"/>
              <i n="[Table1_1].[منصة البيع].&amp;[هومزمارت]" c="هومزمارت"/>
            </range>
          </ranges>
        </level>
      </levels>
      <selections count="1">
        <selection n="[Table1_1].[منصة البيع].[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2D4C412-9044-401F-B574-5CA94EA8C1E1}" cache="Slicer_Month_Name" caption="Month Name" columnCount="3" level="1" style="SlicerStyleDark5 2" rowHeight="234950"/>
  <slicer name="اتسلم؟" xr10:uid="{BD17D1F3-38ED-424D-BA57-324085F47C85}" cache="Slicer_اتسلم؟" caption="اتسلم؟" columnCount="2" level="1" style="SlicerStyleDark5 2" rowHeight="234950"/>
  <slicer name="الحالة" xr10:uid="{42743D04-A3B9-43C2-92CB-B436420ECB13}" cache="Slicer_الحالة" caption="الحالة" columnCount="3" level="1" style="SlicerStyleDark5 2" rowHeight="234950"/>
  <slicer name="الصنف" xr10:uid="{580E88A1-0BEE-4FE5-8818-670C03008D9F}" cache="Slicer_الصنف" caption="الصنف" columnCount="3" level="1" style="SlicerStyleDark5 2" rowHeight="234950"/>
  <slicer name="نوع العميل" xr10:uid="{6EF93E1E-D626-48D8-8A5D-976779611F45}" cache="Slicer_نوع_العميل" caption="نوع العميل" columnCount="2" level="1" style="SlicerStyleDark5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13D9158-0FE8-4F0D-BE17-020B07403271}" cache="Slicer_Month_Name" caption="Month Name" columnCount="3" level="1" style="SlicerStyleDark5 2" rowHeight="234950"/>
  <slicer name="المحافظة" xr10:uid="{EE879FA7-84E7-4F0C-9A12-B08AB75C98BE}" cache="Slicer_المحافظة" caption="المحافظة" columnCount="3" level="1" style="SlicerStyleDark5 2" rowHeight="234950"/>
  <slicer name="منصة البيع" xr10:uid="{040076B4-0751-450E-A0BC-63CEE42CF13A}" cache="Slicer_منصة_البيع" caption="منصة البيع" columnCount="3" level="1"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2A57D-ADD1-4CE7-A951-505A340B3C15}" name="Table1_1" displayName="Table1_1" ref="A1:Y127" totalsRowShown="0" headerRowDxfId="29" dataDxfId="28">
  <autoFilter ref="A1:Y127" xr:uid="{44C2A57D-ADD1-4CE7-A951-505A340B3C15}"/>
  <tableColumns count="25">
    <tableColumn id="1" xr3:uid="{B699F1DB-EA9D-4622-9495-46109525C7EA}" name="أسم العميل" dataDxfId="27"/>
    <tableColumn id="2" xr3:uid="{9DF7AD34-06B4-480C-9EC0-C04668ED521B}" name="نوع العميل" dataDxfId="26"/>
    <tableColumn id="3" xr3:uid="{2906CBB8-5538-4D26-9932-760C15309E79}" name="العنوان" dataDxfId="25"/>
    <tableColumn id="21" xr3:uid="{7F7FDCB2-B126-475E-89D4-2855F15FFE46}" name="المحافظة" dataDxfId="24"/>
    <tableColumn id="4" xr3:uid="{199DA959-60DE-492E-96FC-FDF9170AC64B}" name="منصة البيع " dataDxfId="23"/>
    <tableColumn id="5" xr3:uid="{9E40E30B-0D3A-4009-87A5-A05E2A1A7E42}" name="الصنف" dataDxfId="22"/>
    <tableColumn id="6" xr3:uid="{8EAD4FD1-4D27-486F-B8A4-99A873A1C3EC}" name="النوع" dataDxfId="21"/>
    <tableColumn id="7" xr3:uid="{5456C886-11FC-4DC9-8980-985BB8B3E947}" name="الاسم" dataDxfId="20"/>
    <tableColumn id="8" xr3:uid="{48EED1B3-E2A3-4970-A24D-B33419EA6EF4}" name="المقاس" dataDxfId="19"/>
    <tableColumn id="9" xr3:uid="{01CB68C3-4881-4815-82A4-CD5935FE1E13}" name="اللون المعدن" dataDxfId="18"/>
    <tableColumn id="10" xr3:uid="{96DDBB53-EEF6-4DC5-B736-C644A4CAA29D}" name="لون القماش" dataDxfId="17"/>
    <tableColumn id="27" xr3:uid="{07437326-49EB-4E03-958C-30B15BD33CB7}" name="الكميه" dataDxfId="16"/>
    <tableColumn id="11" xr3:uid="{5BAA2CC2-6001-4D9F-8ADD-15ECA58CB42C}" name="المنتج" dataDxfId="15"/>
    <tableColumn id="12" xr3:uid="{0088E66C-16AB-47CA-9205-6D36540089FD}" name="سعر البيع " dataDxfId="14" dataCellStyle="Comma"/>
    <tableColumn id="13" xr3:uid="{0370011E-0570-4192-8D3A-5B20173C243A}" name="طريقه الدفع2" dataDxfId="13"/>
    <tableColumn id="15" xr3:uid="{0AE1204A-1EDF-4C27-AD0D-44BB4ABFD536}" name="ميعاد التسليم" dataDxfId="12"/>
    <tableColumn id="16" xr3:uid="{2B5F4D5E-7B24-459F-9B4E-97F857C1EF33}" name="تاريخ التسليم" dataDxfId="11"/>
    <tableColumn id="14" xr3:uid="{95B438D7-DBBC-4792-B59B-9DB9B3FD0EE3}" name="ميعاد الطلب" dataDxfId="10"/>
    <tableColumn id="23" xr3:uid="{37155D58-DEB1-4195-9C07-6ECCAF19B6D0}" name="الشهر" dataDxfId="9"/>
    <tableColumn id="20" xr3:uid="{5320C238-F29F-454E-8D20-A996CD201BA6}" name="مده التسليم(الفعلي)" dataDxfId="8"/>
    <tableColumn id="25" xr3:uid="{353571D9-385E-4721-99CF-8C2686BF9E7D}" name="هل تم التسليم قبل او في الموعد ؟" dataDxfId="7"/>
    <tableColumn id="17" xr3:uid="{4D17D624-20DB-4230-9F2F-3CDC2332F443}" name="المسئول عن التسليم" dataDxfId="6"/>
    <tableColumn id="18" xr3:uid="{0E46CD72-6689-41C7-8F59-8420E3B2D395}" name="الحالة" dataDxfId="5"/>
    <tableColumn id="28" xr3:uid="{028D2D56-0052-4319-9ACB-AB0B8E33E466}" name="اتسلم؟" dataDxfId="4"/>
    <tableColumn id="22" xr3:uid="{46B1CE60-F569-42E6-97E0-069BE067042C}" name="مده التسليم (االهدف)"/>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7"/>
  <sheetViews>
    <sheetView topLeftCell="D32" zoomScale="75" workbookViewId="0">
      <selection activeCell="C9" sqref="C9"/>
    </sheetView>
  </sheetViews>
  <sheetFormatPr defaultRowHeight="14.4" x14ac:dyDescent="0.3"/>
  <cols>
    <col min="1" max="1" width="14.5546875" bestFit="1" customWidth="1"/>
    <col min="2" max="2" width="12.6640625" bestFit="1" customWidth="1"/>
    <col min="3" max="3" width="30" bestFit="1" customWidth="1"/>
    <col min="4" max="4" width="11.88671875" bestFit="1" customWidth="1"/>
    <col min="5" max="5" width="13.33203125" bestFit="1" customWidth="1"/>
    <col min="6" max="6" width="10.33203125" bestFit="1" customWidth="1"/>
    <col min="7" max="7" width="8.6640625" bestFit="1" customWidth="1"/>
    <col min="8" max="8" width="9.33203125" bestFit="1" customWidth="1"/>
    <col min="9" max="9" width="10.33203125" bestFit="1" customWidth="1"/>
    <col min="10" max="10" width="13.88671875" bestFit="1" customWidth="1"/>
    <col min="11" max="11" width="13.21875" bestFit="1" customWidth="1"/>
    <col min="12" max="12" width="9.44140625" bestFit="1" customWidth="1"/>
    <col min="13" max="13" width="34.44140625" bestFit="1" customWidth="1"/>
    <col min="14" max="14" width="12.44140625" bestFit="1" customWidth="1"/>
    <col min="15" max="15" width="14.77734375" bestFit="1" customWidth="1"/>
    <col min="16" max="16" width="14.6640625" bestFit="1" customWidth="1"/>
    <col min="17" max="17" width="14.88671875" bestFit="1" customWidth="1"/>
    <col min="18" max="18" width="14" bestFit="1" customWidth="1"/>
    <col min="19" max="19" width="9.44140625" bestFit="1" customWidth="1"/>
    <col min="20" max="20" width="19" bestFit="1" customWidth="1"/>
    <col min="21" max="21" width="28.6640625" bestFit="1" customWidth="1"/>
    <col min="22" max="22" width="22.77734375" bestFit="1" customWidth="1"/>
    <col min="23" max="23" width="9.44140625" bestFit="1" customWidth="1"/>
    <col min="24" max="24" width="10.44140625" bestFit="1" customWidth="1"/>
    <col min="25" max="25" width="15.6640625" bestFit="1" customWidth="1"/>
  </cols>
  <sheetData>
    <row r="1" spans="1:25" x14ac:dyDescent="0.3">
      <c r="A1" s="1" t="s">
        <v>276</v>
      </c>
      <c r="B1" s="1" t="s">
        <v>277</v>
      </c>
      <c r="C1" s="1" t="s">
        <v>278</v>
      </c>
      <c r="D1" s="2" t="s">
        <v>279</v>
      </c>
      <c r="E1" s="1" t="s">
        <v>280</v>
      </c>
      <c r="F1" s="1" t="s">
        <v>281</v>
      </c>
      <c r="G1" s="1" t="s">
        <v>282</v>
      </c>
      <c r="H1" s="1" t="s">
        <v>283</v>
      </c>
      <c r="I1" s="1" t="s">
        <v>284</v>
      </c>
      <c r="J1" s="1" t="s">
        <v>285</v>
      </c>
      <c r="K1" s="1" t="s">
        <v>286</v>
      </c>
      <c r="L1" s="1" t="s">
        <v>287</v>
      </c>
      <c r="M1" s="1" t="s">
        <v>288</v>
      </c>
      <c r="N1" s="3" t="s">
        <v>289</v>
      </c>
      <c r="O1" s="1" t="s">
        <v>290</v>
      </c>
      <c r="P1" s="1" t="s">
        <v>291</v>
      </c>
      <c r="Q1" s="4" t="s">
        <v>292</v>
      </c>
      <c r="R1" s="4" t="s">
        <v>293</v>
      </c>
      <c r="S1" s="1" t="s">
        <v>294</v>
      </c>
      <c r="T1" s="4" t="s">
        <v>295</v>
      </c>
      <c r="U1" s="3" t="s">
        <v>296</v>
      </c>
      <c r="V1" s="1" t="s">
        <v>297</v>
      </c>
      <c r="W1" s="1" t="s">
        <v>298</v>
      </c>
      <c r="X1" s="1" t="s">
        <v>299</v>
      </c>
      <c r="Y1" t="s">
        <v>300</v>
      </c>
    </row>
    <row r="2" spans="1:25" x14ac:dyDescent="0.3">
      <c r="A2" s="1" t="s">
        <v>0</v>
      </c>
      <c r="B2" s="1" t="s">
        <v>1</v>
      </c>
      <c r="C2" s="1" t="s">
        <v>2</v>
      </c>
      <c r="D2" s="1" t="s">
        <v>3</v>
      </c>
      <c r="E2" s="1" t="s">
        <v>4</v>
      </c>
      <c r="F2" s="1" t="s">
        <v>5</v>
      </c>
      <c r="G2" s="1" t="s">
        <v>6</v>
      </c>
      <c r="H2" s="1"/>
      <c r="I2" s="1" t="s">
        <v>7</v>
      </c>
      <c r="J2" s="1" t="s">
        <v>8</v>
      </c>
      <c r="K2" s="1" t="s">
        <v>8</v>
      </c>
      <c r="L2" s="1">
        <v>1</v>
      </c>
      <c r="M2" s="1" t="s">
        <v>9</v>
      </c>
      <c r="N2" s="5">
        <v>10160</v>
      </c>
      <c r="O2" s="1" t="s">
        <v>10</v>
      </c>
      <c r="P2" s="4">
        <v>45514</v>
      </c>
      <c r="Q2" s="4">
        <v>45514</v>
      </c>
      <c r="R2" s="4">
        <v>45501</v>
      </c>
      <c r="S2" s="1" t="s">
        <v>11</v>
      </c>
      <c r="T2" s="3">
        <v>13</v>
      </c>
      <c r="U2" s="3" t="s">
        <v>12</v>
      </c>
      <c r="V2" s="1" t="s">
        <v>13</v>
      </c>
      <c r="W2" s="1" t="s">
        <v>14</v>
      </c>
      <c r="X2" s="3" t="s">
        <v>15</v>
      </c>
      <c r="Y2">
        <v>0</v>
      </c>
    </row>
    <row r="3" spans="1:25" x14ac:dyDescent="0.3">
      <c r="A3" s="1" t="s">
        <v>16</v>
      </c>
      <c r="B3" s="1" t="s">
        <v>1</v>
      </c>
      <c r="C3" s="1" t="s">
        <v>17</v>
      </c>
      <c r="D3" s="1" t="s">
        <v>18</v>
      </c>
      <c r="E3" s="1" t="s">
        <v>4</v>
      </c>
      <c r="F3" s="1" t="s">
        <v>5</v>
      </c>
      <c r="G3" s="1" t="s">
        <v>6</v>
      </c>
      <c r="H3" s="1"/>
      <c r="I3" s="1" t="s">
        <v>7</v>
      </c>
      <c r="J3" s="1" t="s">
        <v>19</v>
      </c>
      <c r="K3" s="1" t="s">
        <v>19</v>
      </c>
      <c r="L3" s="1">
        <v>1</v>
      </c>
      <c r="M3" s="1" t="s">
        <v>20</v>
      </c>
      <c r="N3" s="5">
        <v>10160</v>
      </c>
      <c r="O3" s="1" t="s">
        <v>21</v>
      </c>
      <c r="P3" s="4">
        <v>45515</v>
      </c>
      <c r="Q3" s="4">
        <v>45515</v>
      </c>
      <c r="R3" s="4">
        <v>45501</v>
      </c>
      <c r="S3" s="1" t="s">
        <v>11</v>
      </c>
      <c r="T3" s="3">
        <v>14</v>
      </c>
      <c r="U3" s="3" t="s">
        <v>12</v>
      </c>
      <c r="V3" s="1" t="s">
        <v>13</v>
      </c>
      <c r="W3" s="1" t="s">
        <v>14</v>
      </c>
      <c r="X3" s="3" t="s">
        <v>15</v>
      </c>
      <c r="Y3">
        <v>0</v>
      </c>
    </row>
    <row r="4" spans="1:25" x14ac:dyDescent="0.3">
      <c r="A4" s="1" t="s">
        <v>22</v>
      </c>
      <c r="B4" s="1" t="s">
        <v>1</v>
      </c>
      <c r="C4" s="1" t="s">
        <v>23</v>
      </c>
      <c r="D4" s="1" t="s">
        <v>24</v>
      </c>
      <c r="E4" s="1" t="s">
        <v>4</v>
      </c>
      <c r="F4" s="1" t="s">
        <v>5</v>
      </c>
      <c r="G4" s="1" t="s">
        <v>25</v>
      </c>
      <c r="H4" s="1" t="s">
        <v>26</v>
      </c>
      <c r="I4" s="1">
        <v>90</v>
      </c>
      <c r="J4" s="1" t="s">
        <v>27</v>
      </c>
      <c r="K4" s="1" t="s">
        <v>7</v>
      </c>
      <c r="L4" s="1">
        <v>1</v>
      </c>
      <c r="M4" s="1" t="s">
        <v>28</v>
      </c>
      <c r="N4" s="5">
        <v>11455</v>
      </c>
      <c r="O4" s="1" t="s">
        <v>21</v>
      </c>
      <c r="P4" s="4">
        <v>45516</v>
      </c>
      <c r="Q4" s="4">
        <v>45516</v>
      </c>
      <c r="R4" s="4">
        <v>45500</v>
      </c>
      <c r="S4" s="1" t="s">
        <v>11</v>
      </c>
      <c r="T4" s="3">
        <v>0</v>
      </c>
      <c r="U4" s="3" t="s">
        <v>29</v>
      </c>
      <c r="V4" s="1" t="s">
        <v>30</v>
      </c>
      <c r="W4" s="1" t="s">
        <v>31</v>
      </c>
      <c r="X4" s="3" t="s">
        <v>32</v>
      </c>
      <c r="Y4">
        <v>0</v>
      </c>
    </row>
    <row r="5" spans="1:25" x14ac:dyDescent="0.3">
      <c r="A5" s="1" t="s">
        <v>33</v>
      </c>
      <c r="B5" s="1" t="s">
        <v>1</v>
      </c>
      <c r="C5" s="1" t="s">
        <v>34</v>
      </c>
      <c r="D5" s="1" t="s">
        <v>35</v>
      </c>
      <c r="E5" s="1" t="s">
        <v>4</v>
      </c>
      <c r="F5" s="1" t="s">
        <v>36</v>
      </c>
      <c r="G5" s="1"/>
      <c r="H5" s="1"/>
      <c r="I5" s="1" t="s">
        <v>7</v>
      </c>
      <c r="J5" s="1" t="s">
        <v>7</v>
      </c>
      <c r="K5" s="1" t="s">
        <v>7</v>
      </c>
      <c r="L5" s="1">
        <v>1</v>
      </c>
      <c r="M5" s="1" t="s">
        <v>37</v>
      </c>
      <c r="N5" s="5">
        <v>8642</v>
      </c>
      <c r="O5" s="1" t="s">
        <v>10</v>
      </c>
      <c r="P5" s="4">
        <v>45542</v>
      </c>
      <c r="Q5" s="4">
        <v>45531</v>
      </c>
      <c r="R5" s="4">
        <v>45529</v>
      </c>
      <c r="S5" s="1" t="s">
        <v>38</v>
      </c>
      <c r="T5" s="3">
        <v>2</v>
      </c>
      <c r="U5" s="3" t="s">
        <v>29</v>
      </c>
      <c r="V5" s="1" t="s">
        <v>13</v>
      </c>
      <c r="W5" s="1" t="s">
        <v>14</v>
      </c>
      <c r="X5" s="3" t="s">
        <v>15</v>
      </c>
      <c r="Y5">
        <v>13</v>
      </c>
    </row>
    <row r="6" spans="1:25" x14ac:dyDescent="0.3">
      <c r="A6" s="1" t="s">
        <v>39</v>
      </c>
      <c r="B6" s="1" t="s">
        <v>1</v>
      </c>
      <c r="C6" s="1" t="s">
        <v>23</v>
      </c>
      <c r="D6" s="1" t="s">
        <v>24</v>
      </c>
      <c r="E6" s="1" t="s">
        <v>4</v>
      </c>
      <c r="F6" s="1" t="s">
        <v>5</v>
      </c>
      <c r="G6" s="1" t="s">
        <v>25</v>
      </c>
      <c r="H6" s="1" t="s">
        <v>40</v>
      </c>
      <c r="I6" s="1">
        <v>100</v>
      </c>
      <c r="J6" s="1" t="s">
        <v>41</v>
      </c>
      <c r="K6" s="1" t="s">
        <v>7</v>
      </c>
      <c r="L6" s="1">
        <v>1</v>
      </c>
      <c r="M6" s="1" t="s">
        <v>42</v>
      </c>
      <c r="N6" s="5">
        <v>12833</v>
      </c>
      <c r="O6" s="1" t="s">
        <v>21</v>
      </c>
      <c r="P6" s="4">
        <v>45535</v>
      </c>
      <c r="Q6" s="4" t="s">
        <v>7</v>
      </c>
      <c r="R6" s="4">
        <v>45520</v>
      </c>
      <c r="S6" s="1" t="s">
        <v>38</v>
      </c>
      <c r="T6" s="3">
        <v>0</v>
      </c>
      <c r="U6" s="3" t="s">
        <v>29</v>
      </c>
      <c r="V6" s="1" t="s">
        <v>30</v>
      </c>
      <c r="W6" s="1" t="s">
        <v>31</v>
      </c>
      <c r="X6" s="3" t="s">
        <v>32</v>
      </c>
      <c r="Y6">
        <v>15</v>
      </c>
    </row>
    <row r="7" spans="1:25" x14ac:dyDescent="0.3">
      <c r="A7" s="1" t="s">
        <v>43</v>
      </c>
      <c r="B7" s="1" t="s">
        <v>44</v>
      </c>
      <c r="C7" s="1"/>
      <c r="D7" s="1" t="s">
        <v>3</v>
      </c>
      <c r="E7" s="1" t="s">
        <v>43</v>
      </c>
      <c r="F7" s="1" t="s">
        <v>45</v>
      </c>
      <c r="G7" s="1" t="s">
        <v>46</v>
      </c>
      <c r="H7" s="1"/>
      <c r="I7" s="1"/>
      <c r="J7" s="1" t="s">
        <v>7</v>
      </c>
      <c r="K7" s="1" t="s">
        <v>41</v>
      </c>
      <c r="L7" s="1">
        <v>1</v>
      </c>
      <c r="M7" s="1" t="s">
        <v>47</v>
      </c>
      <c r="N7" s="5">
        <v>14550</v>
      </c>
      <c r="O7" s="1" t="s">
        <v>10</v>
      </c>
      <c r="P7" s="4">
        <v>45538</v>
      </c>
      <c r="Q7" s="4">
        <v>45540</v>
      </c>
      <c r="R7" s="4">
        <v>45518</v>
      </c>
      <c r="S7" s="1" t="s">
        <v>38</v>
      </c>
      <c r="T7" s="3">
        <v>22</v>
      </c>
      <c r="U7" s="3" t="s">
        <v>12</v>
      </c>
      <c r="V7" s="1" t="s">
        <v>13</v>
      </c>
      <c r="W7" s="1" t="s">
        <v>14</v>
      </c>
      <c r="X7" s="3" t="s">
        <v>15</v>
      </c>
      <c r="Y7">
        <v>20</v>
      </c>
    </row>
    <row r="8" spans="1:25" x14ac:dyDescent="0.3">
      <c r="A8" s="1" t="s">
        <v>48</v>
      </c>
      <c r="B8" s="1" t="s">
        <v>1</v>
      </c>
      <c r="C8" s="1" t="s">
        <v>49</v>
      </c>
      <c r="D8" s="1" t="s">
        <v>50</v>
      </c>
      <c r="E8" s="1" t="s">
        <v>51</v>
      </c>
      <c r="F8" s="1" t="s">
        <v>45</v>
      </c>
      <c r="G8" s="1" t="s">
        <v>46</v>
      </c>
      <c r="H8" s="1"/>
      <c r="I8" s="1"/>
      <c r="J8" s="1" t="s">
        <v>7</v>
      </c>
      <c r="K8" s="1" t="s">
        <v>41</v>
      </c>
      <c r="L8" s="1">
        <v>1</v>
      </c>
      <c r="M8" s="1" t="s">
        <v>47</v>
      </c>
      <c r="N8" s="5">
        <v>12000</v>
      </c>
      <c r="O8" s="1" t="s">
        <v>21</v>
      </c>
      <c r="P8" s="4">
        <v>45524</v>
      </c>
      <c r="Q8" s="4">
        <v>45523</v>
      </c>
      <c r="R8" s="4">
        <v>45521</v>
      </c>
      <c r="S8" s="1" t="s">
        <v>38</v>
      </c>
      <c r="T8" s="3">
        <v>2</v>
      </c>
      <c r="U8" s="3" t="s">
        <v>29</v>
      </c>
      <c r="V8" s="1" t="s">
        <v>13</v>
      </c>
      <c r="W8" s="1" t="s">
        <v>14</v>
      </c>
      <c r="X8" s="3" t="s">
        <v>15</v>
      </c>
      <c r="Y8">
        <v>3</v>
      </c>
    </row>
    <row r="9" spans="1:25" x14ac:dyDescent="0.3">
      <c r="A9" s="1" t="s">
        <v>52</v>
      </c>
      <c r="B9" s="1" t="s">
        <v>1</v>
      </c>
      <c r="C9" s="1" t="s">
        <v>53</v>
      </c>
      <c r="D9" s="1" t="s">
        <v>3</v>
      </c>
      <c r="E9" s="1" t="s">
        <v>4</v>
      </c>
      <c r="F9" s="1" t="s">
        <v>5</v>
      </c>
      <c r="G9" s="1" t="s">
        <v>46</v>
      </c>
      <c r="H9" s="1" t="s">
        <v>7</v>
      </c>
      <c r="I9" s="1" t="s">
        <v>7</v>
      </c>
      <c r="J9" s="1" t="s">
        <v>8</v>
      </c>
      <c r="K9" s="1" t="s">
        <v>7</v>
      </c>
      <c r="L9" s="1">
        <v>1</v>
      </c>
      <c r="M9" s="1" t="s">
        <v>54</v>
      </c>
      <c r="N9" s="5">
        <v>7228</v>
      </c>
      <c r="O9" s="1" t="s">
        <v>10</v>
      </c>
      <c r="P9" s="4">
        <v>45538</v>
      </c>
      <c r="Q9" s="4">
        <v>45545</v>
      </c>
      <c r="R9" s="4">
        <v>45529</v>
      </c>
      <c r="S9" s="1" t="s">
        <v>38</v>
      </c>
      <c r="T9" s="3">
        <v>16</v>
      </c>
      <c r="U9" s="3" t="s">
        <v>12</v>
      </c>
      <c r="V9" s="1" t="s">
        <v>13</v>
      </c>
      <c r="W9" s="1" t="s">
        <v>14</v>
      </c>
      <c r="X9" s="3" t="s">
        <v>15</v>
      </c>
      <c r="Y9">
        <v>9</v>
      </c>
    </row>
    <row r="10" spans="1:25" x14ac:dyDescent="0.3">
      <c r="A10" s="1" t="s">
        <v>55</v>
      </c>
      <c r="B10" s="1" t="s">
        <v>44</v>
      </c>
      <c r="C10" s="1" t="s">
        <v>56</v>
      </c>
      <c r="D10" s="1" t="s">
        <v>50</v>
      </c>
      <c r="E10" s="1" t="s">
        <v>55</v>
      </c>
      <c r="F10" s="1" t="s">
        <v>36</v>
      </c>
      <c r="G10" s="1" t="s">
        <v>46</v>
      </c>
      <c r="H10" s="1" t="s">
        <v>7</v>
      </c>
      <c r="I10" s="1" t="s">
        <v>7</v>
      </c>
      <c r="J10" s="1" t="s">
        <v>7</v>
      </c>
      <c r="K10" s="1" t="s">
        <v>7</v>
      </c>
      <c r="L10" s="1">
        <v>1</v>
      </c>
      <c r="M10" s="1" t="s">
        <v>57</v>
      </c>
      <c r="N10" s="5">
        <v>22000</v>
      </c>
      <c r="O10" s="1" t="s">
        <v>21</v>
      </c>
      <c r="P10" s="4">
        <v>45536</v>
      </c>
      <c r="Q10" s="4">
        <v>45552</v>
      </c>
      <c r="R10" s="4">
        <v>45523</v>
      </c>
      <c r="S10" s="1" t="s">
        <v>38</v>
      </c>
      <c r="T10" s="3">
        <v>29</v>
      </c>
      <c r="U10" s="3" t="s">
        <v>12</v>
      </c>
      <c r="V10" s="1" t="s">
        <v>7</v>
      </c>
      <c r="W10" s="1" t="s">
        <v>14</v>
      </c>
      <c r="X10" s="3" t="s">
        <v>15</v>
      </c>
      <c r="Y10">
        <v>13</v>
      </c>
    </row>
    <row r="11" spans="1:25" x14ac:dyDescent="0.3">
      <c r="A11" s="1" t="s">
        <v>55</v>
      </c>
      <c r="B11" s="1" t="s">
        <v>44</v>
      </c>
      <c r="C11" s="1" t="s">
        <v>56</v>
      </c>
      <c r="D11" s="1" t="s">
        <v>50</v>
      </c>
      <c r="E11" s="1" t="s">
        <v>55</v>
      </c>
      <c r="F11" s="1" t="s">
        <v>45</v>
      </c>
      <c r="G11" s="1" t="s">
        <v>46</v>
      </c>
      <c r="H11" s="1"/>
      <c r="I11" s="1"/>
      <c r="J11" s="1"/>
      <c r="K11" s="1"/>
      <c r="L11" s="1">
        <v>2</v>
      </c>
      <c r="M11" s="1" t="s">
        <v>58</v>
      </c>
      <c r="N11" s="5">
        <v>16000</v>
      </c>
      <c r="O11" s="1" t="s">
        <v>21</v>
      </c>
      <c r="P11" s="4">
        <v>45536</v>
      </c>
      <c r="Q11" s="4" t="s">
        <v>7</v>
      </c>
      <c r="R11" s="4">
        <v>45523</v>
      </c>
      <c r="S11" s="1" t="s">
        <v>38</v>
      </c>
      <c r="T11" s="3">
        <v>0</v>
      </c>
      <c r="U11" s="3" t="s">
        <v>29</v>
      </c>
      <c r="V11" s="1" t="s">
        <v>59</v>
      </c>
      <c r="W11" s="1" t="s">
        <v>60</v>
      </c>
      <c r="X11" s="3" t="s">
        <v>32</v>
      </c>
      <c r="Y11">
        <v>0</v>
      </c>
    </row>
    <row r="12" spans="1:25" x14ac:dyDescent="0.3">
      <c r="A12" s="1" t="s">
        <v>55</v>
      </c>
      <c r="B12" s="1" t="s">
        <v>44</v>
      </c>
      <c r="C12" s="1" t="s">
        <v>61</v>
      </c>
      <c r="D12" s="1" t="s">
        <v>50</v>
      </c>
      <c r="E12" s="1" t="s">
        <v>55</v>
      </c>
      <c r="F12" s="1" t="s">
        <v>45</v>
      </c>
      <c r="G12" s="1" t="s">
        <v>46</v>
      </c>
      <c r="H12" s="1"/>
      <c r="I12" s="1"/>
      <c r="J12" s="1"/>
      <c r="K12" s="1"/>
      <c r="L12" s="1">
        <v>2</v>
      </c>
      <c r="M12" s="1" t="s">
        <v>62</v>
      </c>
      <c r="N12" s="5">
        <v>6000</v>
      </c>
      <c r="O12" s="1" t="s">
        <v>21</v>
      </c>
      <c r="P12" s="4">
        <v>45550</v>
      </c>
      <c r="Q12" s="4">
        <v>45552</v>
      </c>
      <c r="R12" s="4">
        <v>45529</v>
      </c>
      <c r="S12" s="1" t="s">
        <v>38</v>
      </c>
      <c r="T12" s="3">
        <v>23</v>
      </c>
      <c r="U12" s="3" t="s">
        <v>12</v>
      </c>
      <c r="V12" s="1" t="s">
        <v>63</v>
      </c>
      <c r="W12" s="1" t="s">
        <v>14</v>
      </c>
      <c r="X12" s="3" t="s">
        <v>15</v>
      </c>
      <c r="Y12">
        <v>0</v>
      </c>
    </row>
    <row r="13" spans="1:25" x14ac:dyDescent="0.3">
      <c r="A13" s="1" t="s">
        <v>55</v>
      </c>
      <c r="B13" s="1" t="s">
        <v>44</v>
      </c>
      <c r="C13" s="1" t="s">
        <v>61</v>
      </c>
      <c r="D13" s="1" t="s">
        <v>50</v>
      </c>
      <c r="E13" s="1" t="s">
        <v>55</v>
      </c>
      <c r="F13" s="1" t="s">
        <v>45</v>
      </c>
      <c r="G13" s="1" t="s">
        <v>46</v>
      </c>
      <c r="H13" s="1"/>
      <c r="I13" s="1"/>
      <c r="J13" s="1"/>
      <c r="K13" s="1"/>
      <c r="L13" s="1">
        <v>2</v>
      </c>
      <c r="M13" s="1" t="s">
        <v>62</v>
      </c>
      <c r="N13" s="5">
        <v>6000</v>
      </c>
      <c r="O13" s="1" t="s">
        <v>21</v>
      </c>
      <c r="P13" s="4">
        <v>45550</v>
      </c>
      <c r="Q13" s="4">
        <v>45552</v>
      </c>
      <c r="R13" s="4">
        <v>45529</v>
      </c>
      <c r="S13" s="1" t="s">
        <v>38</v>
      </c>
      <c r="T13" s="3">
        <v>23</v>
      </c>
      <c r="U13" s="3" t="s">
        <v>12</v>
      </c>
      <c r="V13" s="1" t="s">
        <v>63</v>
      </c>
      <c r="W13" s="1" t="s">
        <v>14</v>
      </c>
      <c r="X13" s="3" t="s">
        <v>15</v>
      </c>
      <c r="Y13">
        <v>0</v>
      </c>
    </row>
    <row r="14" spans="1:25" x14ac:dyDescent="0.3">
      <c r="A14" s="1" t="s">
        <v>64</v>
      </c>
      <c r="B14" s="1" t="s">
        <v>1</v>
      </c>
      <c r="C14" s="1" t="s">
        <v>65</v>
      </c>
      <c r="D14" s="1" t="s">
        <v>50</v>
      </c>
      <c r="E14" s="1" t="s">
        <v>4</v>
      </c>
      <c r="F14" s="1" t="s">
        <v>5</v>
      </c>
      <c r="G14" s="1" t="s">
        <v>25</v>
      </c>
      <c r="H14" s="1" t="s">
        <v>40</v>
      </c>
      <c r="I14" s="1">
        <v>80</v>
      </c>
      <c r="J14" s="1" t="s">
        <v>8</v>
      </c>
      <c r="K14" s="1"/>
      <c r="L14" s="1">
        <v>1</v>
      </c>
      <c r="M14" s="1" t="s">
        <v>66</v>
      </c>
      <c r="N14" s="5">
        <v>10499</v>
      </c>
      <c r="O14" s="1" t="s">
        <v>21</v>
      </c>
      <c r="P14" s="4">
        <v>45551</v>
      </c>
      <c r="Q14" s="4">
        <v>45543</v>
      </c>
      <c r="R14" s="4">
        <v>45536</v>
      </c>
      <c r="S14" s="1" t="s">
        <v>67</v>
      </c>
      <c r="T14" s="3">
        <v>7</v>
      </c>
      <c r="U14" s="3" t="s">
        <v>29</v>
      </c>
      <c r="V14" s="1" t="s">
        <v>13</v>
      </c>
      <c r="W14" s="1" t="s">
        <v>14</v>
      </c>
      <c r="X14" s="3" t="s">
        <v>15</v>
      </c>
      <c r="Y14">
        <v>15</v>
      </c>
    </row>
    <row r="15" spans="1:25" x14ac:dyDescent="0.3">
      <c r="A15" s="1" t="s">
        <v>68</v>
      </c>
      <c r="B15" s="1" t="s">
        <v>1</v>
      </c>
      <c r="C15" s="1" t="s">
        <v>53</v>
      </c>
      <c r="D15" s="1" t="s">
        <v>3</v>
      </c>
      <c r="E15" s="1" t="s">
        <v>4</v>
      </c>
      <c r="F15" s="1" t="s">
        <v>5</v>
      </c>
      <c r="G15" s="1" t="s">
        <v>69</v>
      </c>
      <c r="H15" s="1" t="s">
        <v>40</v>
      </c>
      <c r="I15" s="1">
        <v>80</v>
      </c>
      <c r="J15" s="1" t="s">
        <v>8</v>
      </c>
      <c r="K15" s="1"/>
      <c r="L15" s="1">
        <v>1</v>
      </c>
      <c r="M15" s="1" t="s">
        <v>70</v>
      </c>
      <c r="N15" s="5">
        <v>7295</v>
      </c>
      <c r="O15" s="1" t="s">
        <v>21</v>
      </c>
      <c r="P15" s="4">
        <v>45549</v>
      </c>
      <c r="Q15" s="4" t="s">
        <v>7</v>
      </c>
      <c r="R15" s="4">
        <v>45540</v>
      </c>
      <c r="S15" s="1" t="s">
        <v>67</v>
      </c>
      <c r="T15" s="3">
        <v>0</v>
      </c>
      <c r="U15" s="3" t="s">
        <v>29</v>
      </c>
      <c r="V15" s="1" t="s">
        <v>59</v>
      </c>
      <c r="W15" s="1" t="s">
        <v>60</v>
      </c>
      <c r="X15" s="3" t="s">
        <v>32</v>
      </c>
      <c r="Y15">
        <v>9</v>
      </c>
    </row>
    <row r="16" spans="1:25" x14ac:dyDescent="0.3">
      <c r="A16" s="1" t="s">
        <v>71</v>
      </c>
      <c r="B16" s="1" t="s">
        <v>1</v>
      </c>
      <c r="C16" s="1" t="s">
        <v>72</v>
      </c>
      <c r="D16" s="1" t="s">
        <v>50</v>
      </c>
      <c r="E16" s="1" t="s">
        <v>4</v>
      </c>
      <c r="F16" s="1" t="s">
        <v>73</v>
      </c>
      <c r="G16" s="1" t="s">
        <v>74</v>
      </c>
      <c r="H16" s="1"/>
      <c r="I16" s="1"/>
      <c r="J16" s="1"/>
      <c r="K16" s="1"/>
      <c r="L16" s="1">
        <v>1</v>
      </c>
      <c r="M16" s="1" t="s">
        <v>75</v>
      </c>
      <c r="N16" s="5">
        <v>7849</v>
      </c>
      <c r="O16" s="1" t="s">
        <v>10</v>
      </c>
      <c r="P16" s="4">
        <v>45551</v>
      </c>
      <c r="Q16" s="4">
        <v>45560</v>
      </c>
      <c r="R16" s="4">
        <v>45539</v>
      </c>
      <c r="S16" s="1" t="s">
        <v>67</v>
      </c>
      <c r="T16" s="3">
        <v>21</v>
      </c>
      <c r="U16" s="3" t="s">
        <v>12</v>
      </c>
      <c r="V16" s="1" t="s">
        <v>13</v>
      </c>
      <c r="W16" s="1" t="s">
        <v>60</v>
      </c>
      <c r="X16" s="3" t="s">
        <v>32</v>
      </c>
      <c r="Y16">
        <v>12</v>
      </c>
    </row>
    <row r="17" spans="1:25" x14ac:dyDescent="0.3">
      <c r="A17" s="1" t="s">
        <v>76</v>
      </c>
      <c r="B17" s="1" t="s">
        <v>1</v>
      </c>
      <c r="C17" s="1" t="s">
        <v>77</v>
      </c>
      <c r="D17" s="1" t="s">
        <v>50</v>
      </c>
      <c r="E17" s="1" t="s">
        <v>78</v>
      </c>
      <c r="F17" s="1" t="s">
        <v>5</v>
      </c>
      <c r="G17" s="1" t="s">
        <v>25</v>
      </c>
      <c r="H17" s="1" t="s">
        <v>26</v>
      </c>
      <c r="I17" s="1">
        <v>120</v>
      </c>
      <c r="J17" s="1" t="s">
        <v>19</v>
      </c>
      <c r="K17" s="1"/>
      <c r="L17" s="1">
        <v>2</v>
      </c>
      <c r="M17" s="1" t="s">
        <v>79</v>
      </c>
      <c r="N17" s="5">
        <v>6180</v>
      </c>
      <c r="O17" s="1" t="s">
        <v>21</v>
      </c>
      <c r="P17" s="4">
        <v>45551</v>
      </c>
      <c r="Q17" s="4">
        <v>45550</v>
      </c>
      <c r="R17" s="4">
        <v>45538</v>
      </c>
      <c r="S17" s="1" t="s">
        <v>67</v>
      </c>
      <c r="T17" s="3">
        <v>12</v>
      </c>
      <c r="U17" s="3" t="s">
        <v>29</v>
      </c>
      <c r="V17" s="1" t="s">
        <v>63</v>
      </c>
      <c r="W17" s="1" t="s">
        <v>14</v>
      </c>
      <c r="X17" s="3" t="s">
        <v>15</v>
      </c>
      <c r="Y17">
        <v>13</v>
      </c>
    </row>
    <row r="18" spans="1:25" x14ac:dyDescent="0.3">
      <c r="A18" s="1" t="s">
        <v>76</v>
      </c>
      <c r="B18" s="1" t="s">
        <v>1</v>
      </c>
      <c r="C18" s="1" t="s">
        <v>77</v>
      </c>
      <c r="D18" s="1" t="s">
        <v>50</v>
      </c>
      <c r="E18" s="1" t="s">
        <v>78</v>
      </c>
      <c r="F18" s="1" t="s">
        <v>5</v>
      </c>
      <c r="G18" s="1" t="s">
        <v>25</v>
      </c>
      <c r="H18" s="1" t="s">
        <v>26</v>
      </c>
      <c r="I18" s="1">
        <v>120</v>
      </c>
      <c r="J18" s="1" t="s">
        <v>19</v>
      </c>
      <c r="K18" s="1"/>
      <c r="L18" s="1">
        <v>2</v>
      </c>
      <c r="M18" s="1" t="s">
        <v>79</v>
      </c>
      <c r="N18" s="5">
        <v>6180</v>
      </c>
      <c r="O18" s="1" t="s">
        <v>21</v>
      </c>
      <c r="P18" s="4">
        <v>45551</v>
      </c>
      <c r="Q18" s="4">
        <v>45550</v>
      </c>
      <c r="R18" s="4">
        <v>45538</v>
      </c>
      <c r="S18" s="1" t="s">
        <v>67</v>
      </c>
      <c r="T18" s="3">
        <v>12</v>
      </c>
      <c r="U18" s="3" t="s">
        <v>29</v>
      </c>
      <c r="V18" s="1" t="s">
        <v>63</v>
      </c>
      <c r="W18" s="1" t="s">
        <v>14</v>
      </c>
      <c r="X18" s="3" t="s">
        <v>15</v>
      </c>
      <c r="Y18">
        <v>13</v>
      </c>
    </row>
    <row r="19" spans="1:25" x14ac:dyDescent="0.3">
      <c r="A19" s="1" t="s">
        <v>80</v>
      </c>
      <c r="B19" s="1" t="s">
        <v>1</v>
      </c>
      <c r="C19" s="1" t="s">
        <v>81</v>
      </c>
      <c r="D19" s="1" t="s">
        <v>50</v>
      </c>
      <c r="E19" s="1" t="s">
        <v>4</v>
      </c>
      <c r="F19" s="1" t="s">
        <v>5</v>
      </c>
      <c r="G19" s="1" t="s">
        <v>25</v>
      </c>
      <c r="H19" s="1" t="s">
        <v>82</v>
      </c>
      <c r="I19" s="1">
        <v>80</v>
      </c>
      <c r="J19" s="1" t="s">
        <v>8</v>
      </c>
      <c r="K19" s="1"/>
      <c r="L19" s="1">
        <v>1</v>
      </c>
      <c r="M19" s="1" t="s">
        <v>83</v>
      </c>
      <c r="N19" s="5">
        <v>11199</v>
      </c>
      <c r="O19" s="1" t="s">
        <v>21</v>
      </c>
      <c r="P19" s="4">
        <v>45553</v>
      </c>
      <c r="Q19" s="4" t="s">
        <v>7</v>
      </c>
      <c r="R19" s="4">
        <v>45539</v>
      </c>
      <c r="S19" s="1" t="s">
        <v>67</v>
      </c>
      <c r="T19" s="3">
        <v>0</v>
      </c>
      <c r="U19" s="3" t="s">
        <v>29</v>
      </c>
      <c r="V19" s="1" t="s">
        <v>59</v>
      </c>
      <c r="W19" s="1" t="s">
        <v>60</v>
      </c>
      <c r="X19" s="3" t="s">
        <v>32</v>
      </c>
      <c r="Y19">
        <v>14</v>
      </c>
    </row>
    <row r="20" spans="1:25" x14ac:dyDescent="0.3">
      <c r="A20" s="1" t="s">
        <v>48</v>
      </c>
      <c r="B20" s="1" t="s">
        <v>1</v>
      </c>
      <c r="C20" s="1" t="s">
        <v>84</v>
      </c>
      <c r="D20" s="1" t="s">
        <v>50</v>
      </c>
      <c r="E20" s="1" t="s">
        <v>4</v>
      </c>
      <c r="F20" s="1" t="s">
        <v>5</v>
      </c>
      <c r="G20" s="1" t="s">
        <v>69</v>
      </c>
      <c r="H20" s="1" t="s">
        <v>85</v>
      </c>
      <c r="I20" s="1">
        <v>80</v>
      </c>
      <c r="J20" s="1" t="s">
        <v>8</v>
      </c>
      <c r="K20" s="1"/>
      <c r="L20" s="1">
        <v>4</v>
      </c>
      <c r="M20" s="1" t="s">
        <v>86</v>
      </c>
      <c r="N20" s="5">
        <v>7987</v>
      </c>
      <c r="O20" s="1" t="s">
        <v>10</v>
      </c>
      <c r="P20" s="4">
        <v>45551</v>
      </c>
      <c r="Q20" s="4">
        <v>45556</v>
      </c>
      <c r="R20" s="4">
        <v>45541</v>
      </c>
      <c r="S20" s="1" t="s">
        <v>67</v>
      </c>
      <c r="T20" s="3">
        <v>15</v>
      </c>
      <c r="U20" s="3" t="s">
        <v>12</v>
      </c>
      <c r="V20" s="1" t="s">
        <v>63</v>
      </c>
      <c r="W20" s="1" t="s">
        <v>14</v>
      </c>
      <c r="X20" s="3" t="s">
        <v>15</v>
      </c>
      <c r="Y20">
        <v>10</v>
      </c>
    </row>
    <row r="21" spans="1:25" x14ac:dyDescent="0.3">
      <c r="A21" s="1" t="s">
        <v>55</v>
      </c>
      <c r="B21" s="1" t="s">
        <v>44</v>
      </c>
      <c r="C21" s="1" t="s">
        <v>56</v>
      </c>
      <c r="D21" s="1" t="s">
        <v>50</v>
      </c>
      <c r="E21" s="1" t="s">
        <v>55</v>
      </c>
      <c r="F21" s="1" t="s">
        <v>87</v>
      </c>
      <c r="G21" s="1" t="s">
        <v>88</v>
      </c>
      <c r="H21" s="1"/>
      <c r="I21" s="1"/>
      <c r="J21" s="1"/>
      <c r="K21" s="1"/>
      <c r="L21" s="1">
        <v>2</v>
      </c>
      <c r="M21" s="1" t="s">
        <v>89</v>
      </c>
      <c r="N21" s="5">
        <v>9300</v>
      </c>
      <c r="O21" s="1" t="s">
        <v>21</v>
      </c>
      <c r="P21" s="4">
        <v>45550</v>
      </c>
      <c r="Q21" s="4">
        <v>45552</v>
      </c>
      <c r="R21" s="4">
        <v>45539</v>
      </c>
      <c r="S21" s="1" t="s">
        <v>67</v>
      </c>
      <c r="T21" s="3">
        <v>13</v>
      </c>
      <c r="U21" s="3" t="s">
        <v>12</v>
      </c>
      <c r="V21" s="1" t="s">
        <v>63</v>
      </c>
      <c r="W21" s="1" t="s">
        <v>14</v>
      </c>
      <c r="X21" s="3" t="s">
        <v>15</v>
      </c>
      <c r="Y21">
        <v>11</v>
      </c>
    </row>
    <row r="22" spans="1:25" x14ac:dyDescent="0.3">
      <c r="A22" s="1" t="s">
        <v>48</v>
      </c>
      <c r="B22" s="1" t="s">
        <v>1</v>
      </c>
      <c r="C22" s="1" t="s">
        <v>84</v>
      </c>
      <c r="D22" s="1" t="s">
        <v>50</v>
      </c>
      <c r="E22" s="1" t="s">
        <v>4</v>
      </c>
      <c r="F22" s="1" t="s">
        <v>5</v>
      </c>
      <c r="G22" s="1" t="s">
        <v>69</v>
      </c>
      <c r="H22" s="1" t="s">
        <v>85</v>
      </c>
      <c r="I22" s="1">
        <v>80</v>
      </c>
      <c r="J22" s="1" t="s">
        <v>8</v>
      </c>
      <c r="K22" s="1"/>
      <c r="L22" s="1">
        <v>4</v>
      </c>
      <c r="M22" s="1" t="s">
        <v>86</v>
      </c>
      <c r="N22" s="5">
        <v>7987</v>
      </c>
      <c r="O22" s="1" t="s">
        <v>10</v>
      </c>
      <c r="P22" s="4">
        <v>45551</v>
      </c>
      <c r="Q22" s="4">
        <v>45556</v>
      </c>
      <c r="R22" s="4">
        <v>45541</v>
      </c>
      <c r="S22" s="1" t="s">
        <v>67</v>
      </c>
      <c r="T22" s="3">
        <v>15</v>
      </c>
      <c r="U22" s="3" t="s">
        <v>12</v>
      </c>
      <c r="V22" s="1" t="s">
        <v>63</v>
      </c>
      <c r="W22" s="1" t="s">
        <v>14</v>
      </c>
      <c r="X22" s="3" t="s">
        <v>15</v>
      </c>
      <c r="Y22">
        <v>10</v>
      </c>
    </row>
    <row r="23" spans="1:25" x14ac:dyDescent="0.3">
      <c r="A23" s="1" t="s">
        <v>48</v>
      </c>
      <c r="B23" s="1" t="s">
        <v>1</v>
      </c>
      <c r="C23" s="1" t="s">
        <v>84</v>
      </c>
      <c r="D23" s="1" t="s">
        <v>50</v>
      </c>
      <c r="E23" s="1" t="s">
        <v>4</v>
      </c>
      <c r="F23" s="1" t="s">
        <v>5</v>
      </c>
      <c r="G23" s="1" t="s">
        <v>69</v>
      </c>
      <c r="H23" s="1" t="s">
        <v>85</v>
      </c>
      <c r="I23" s="1">
        <v>80</v>
      </c>
      <c r="J23" s="1" t="s">
        <v>8</v>
      </c>
      <c r="K23" s="1"/>
      <c r="L23" s="1">
        <v>4</v>
      </c>
      <c r="M23" s="1" t="s">
        <v>86</v>
      </c>
      <c r="N23" s="5">
        <v>7987</v>
      </c>
      <c r="O23" s="1" t="s">
        <v>10</v>
      </c>
      <c r="P23" s="4">
        <v>45551</v>
      </c>
      <c r="Q23" s="4">
        <v>45556</v>
      </c>
      <c r="R23" s="4">
        <v>45541</v>
      </c>
      <c r="S23" s="1" t="s">
        <v>67</v>
      </c>
      <c r="T23" s="3">
        <v>15</v>
      </c>
      <c r="U23" s="3" t="s">
        <v>12</v>
      </c>
      <c r="V23" s="1" t="s">
        <v>63</v>
      </c>
      <c r="W23" s="1" t="s">
        <v>14</v>
      </c>
      <c r="X23" s="3" t="s">
        <v>15</v>
      </c>
      <c r="Y23">
        <v>10</v>
      </c>
    </row>
    <row r="24" spans="1:25" x14ac:dyDescent="0.3">
      <c r="A24" s="1" t="s">
        <v>48</v>
      </c>
      <c r="B24" s="1" t="s">
        <v>1</v>
      </c>
      <c r="C24" s="1" t="s">
        <v>84</v>
      </c>
      <c r="D24" s="1" t="s">
        <v>50</v>
      </c>
      <c r="E24" s="1" t="s">
        <v>4</v>
      </c>
      <c r="F24" s="1" t="s">
        <v>5</v>
      </c>
      <c r="G24" s="1" t="s">
        <v>69</v>
      </c>
      <c r="H24" s="1" t="s">
        <v>85</v>
      </c>
      <c r="I24" s="1">
        <v>80</v>
      </c>
      <c r="J24" s="1" t="s">
        <v>8</v>
      </c>
      <c r="K24" s="1"/>
      <c r="L24" s="1">
        <v>4</v>
      </c>
      <c r="M24" s="1" t="s">
        <v>86</v>
      </c>
      <c r="N24" s="5">
        <v>7987</v>
      </c>
      <c r="O24" s="1" t="s">
        <v>10</v>
      </c>
      <c r="P24" s="4">
        <v>45551</v>
      </c>
      <c r="Q24" s="4">
        <v>45556</v>
      </c>
      <c r="R24" s="4">
        <v>45541</v>
      </c>
      <c r="S24" s="1" t="s">
        <v>67</v>
      </c>
      <c r="T24" s="3">
        <v>15</v>
      </c>
      <c r="U24" s="3" t="s">
        <v>12</v>
      </c>
      <c r="V24" s="1" t="s">
        <v>63</v>
      </c>
      <c r="W24" s="1" t="s">
        <v>14</v>
      </c>
      <c r="X24" s="3" t="s">
        <v>15</v>
      </c>
      <c r="Y24">
        <v>10</v>
      </c>
    </row>
    <row r="25" spans="1:25" x14ac:dyDescent="0.3">
      <c r="A25" s="1" t="s">
        <v>90</v>
      </c>
      <c r="B25" s="1" t="s">
        <v>1</v>
      </c>
      <c r="C25" s="1" t="s">
        <v>91</v>
      </c>
      <c r="D25" s="1" t="s">
        <v>50</v>
      </c>
      <c r="E25" s="1" t="s">
        <v>4</v>
      </c>
      <c r="F25" s="1" t="s">
        <v>73</v>
      </c>
      <c r="G25" s="1" t="s">
        <v>74</v>
      </c>
      <c r="H25" s="1"/>
      <c r="I25" s="1"/>
      <c r="J25" s="1"/>
      <c r="K25" s="1"/>
      <c r="L25" s="1">
        <v>1</v>
      </c>
      <c r="M25" s="1" t="s">
        <v>75</v>
      </c>
      <c r="N25" s="5">
        <v>8849</v>
      </c>
      <c r="O25" s="1" t="s">
        <v>10</v>
      </c>
      <c r="P25" s="4">
        <v>45581</v>
      </c>
      <c r="Q25" s="4" t="s">
        <v>7</v>
      </c>
      <c r="R25" s="4">
        <v>45538</v>
      </c>
      <c r="S25" s="1" t="s">
        <v>67</v>
      </c>
      <c r="T25" s="3">
        <v>0</v>
      </c>
      <c r="U25" s="3" t="s">
        <v>29</v>
      </c>
      <c r="V25" s="1" t="s">
        <v>59</v>
      </c>
      <c r="W25" s="1" t="s">
        <v>60</v>
      </c>
      <c r="X25" s="3" t="s">
        <v>32</v>
      </c>
      <c r="Y25">
        <v>12</v>
      </c>
    </row>
    <row r="26" spans="1:25" x14ac:dyDescent="0.3">
      <c r="A26" s="1" t="s">
        <v>92</v>
      </c>
      <c r="B26" s="1" t="s">
        <v>1</v>
      </c>
      <c r="C26" s="1" t="s">
        <v>53</v>
      </c>
      <c r="D26" s="1" t="s">
        <v>3</v>
      </c>
      <c r="E26" s="1" t="s">
        <v>4</v>
      </c>
      <c r="F26" s="1" t="s">
        <v>5</v>
      </c>
      <c r="G26" s="1" t="s">
        <v>69</v>
      </c>
      <c r="H26" s="1" t="s">
        <v>93</v>
      </c>
      <c r="I26" s="1">
        <v>120</v>
      </c>
      <c r="J26" s="1" t="s">
        <v>8</v>
      </c>
      <c r="K26" s="1"/>
      <c r="L26" s="1">
        <v>1</v>
      </c>
      <c r="M26" s="1" t="s">
        <v>94</v>
      </c>
      <c r="N26" s="5">
        <v>10987</v>
      </c>
      <c r="O26" s="1" t="s">
        <v>10</v>
      </c>
      <c r="P26" s="4">
        <v>45552</v>
      </c>
      <c r="Q26" s="4">
        <v>45556</v>
      </c>
      <c r="R26" s="4">
        <v>45544</v>
      </c>
      <c r="S26" s="1" t="s">
        <v>67</v>
      </c>
      <c r="T26" s="3">
        <v>12</v>
      </c>
      <c r="U26" s="3" t="s">
        <v>12</v>
      </c>
      <c r="V26" s="1" t="s">
        <v>63</v>
      </c>
      <c r="W26" s="1" t="s">
        <v>14</v>
      </c>
      <c r="X26" s="3" t="s">
        <v>15</v>
      </c>
      <c r="Y26">
        <v>8</v>
      </c>
    </row>
    <row r="27" spans="1:25" x14ac:dyDescent="0.3">
      <c r="A27" s="1" t="s">
        <v>43</v>
      </c>
      <c r="B27" s="1" t="s">
        <v>44</v>
      </c>
      <c r="C27" s="1"/>
      <c r="D27" s="1" t="s">
        <v>3</v>
      </c>
      <c r="E27" s="1" t="s">
        <v>43</v>
      </c>
      <c r="F27" s="1" t="s">
        <v>5</v>
      </c>
      <c r="G27" s="1" t="s">
        <v>25</v>
      </c>
      <c r="H27" s="1" t="s">
        <v>82</v>
      </c>
      <c r="I27" s="1">
        <v>100</v>
      </c>
      <c r="J27" s="1" t="s">
        <v>8</v>
      </c>
      <c r="K27" s="1"/>
      <c r="L27" s="1">
        <v>1</v>
      </c>
      <c r="M27" s="1" t="s">
        <v>95</v>
      </c>
      <c r="N27" s="5">
        <v>9208</v>
      </c>
      <c r="O27" s="1" t="s">
        <v>21</v>
      </c>
      <c r="P27" s="4">
        <v>45554</v>
      </c>
      <c r="Q27" s="4">
        <v>45556</v>
      </c>
      <c r="R27" s="4">
        <v>45536</v>
      </c>
      <c r="S27" s="1" t="s">
        <v>67</v>
      </c>
      <c r="T27" s="3">
        <v>20</v>
      </c>
      <c r="U27" s="3" t="s">
        <v>12</v>
      </c>
      <c r="V27" s="1" t="s">
        <v>63</v>
      </c>
      <c r="W27" s="1" t="s">
        <v>14</v>
      </c>
      <c r="X27" s="3" t="s">
        <v>15</v>
      </c>
      <c r="Y27">
        <v>18</v>
      </c>
    </row>
    <row r="28" spans="1:25" x14ac:dyDescent="0.3">
      <c r="A28" s="1" t="s">
        <v>43</v>
      </c>
      <c r="B28" s="1" t="s">
        <v>44</v>
      </c>
      <c r="C28" s="1"/>
      <c r="D28" s="1" t="s">
        <v>3</v>
      </c>
      <c r="E28" s="1" t="s">
        <v>43</v>
      </c>
      <c r="F28" s="1" t="s">
        <v>5</v>
      </c>
      <c r="G28" s="1" t="s">
        <v>25</v>
      </c>
      <c r="H28" s="1" t="s">
        <v>82</v>
      </c>
      <c r="I28" s="1">
        <v>100</v>
      </c>
      <c r="J28" s="1" t="s">
        <v>19</v>
      </c>
      <c r="K28" s="1"/>
      <c r="L28" s="1">
        <v>1</v>
      </c>
      <c r="M28" s="1" t="s">
        <v>96</v>
      </c>
      <c r="N28" s="5">
        <v>9208</v>
      </c>
      <c r="O28" s="1" t="s">
        <v>21</v>
      </c>
      <c r="P28" s="4">
        <v>45554</v>
      </c>
      <c r="Q28" s="4">
        <v>45556</v>
      </c>
      <c r="R28" s="4">
        <v>45536</v>
      </c>
      <c r="S28" s="1" t="s">
        <v>67</v>
      </c>
      <c r="T28" s="3">
        <v>20</v>
      </c>
      <c r="U28" s="3" t="s">
        <v>12</v>
      </c>
      <c r="V28" s="1" t="s">
        <v>63</v>
      </c>
      <c r="W28" s="1" t="s">
        <v>14</v>
      </c>
      <c r="X28" s="3" t="s">
        <v>15</v>
      </c>
      <c r="Y28">
        <v>18</v>
      </c>
    </row>
    <row r="29" spans="1:25" x14ac:dyDescent="0.3">
      <c r="A29" s="1" t="s">
        <v>97</v>
      </c>
      <c r="B29" s="1" t="s">
        <v>44</v>
      </c>
      <c r="C29" s="1" t="s">
        <v>98</v>
      </c>
      <c r="D29" s="1" t="s">
        <v>99</v>
      </c>
      <c r="E29" s="1" t="s">
        <v>78</v>
      </c>
      <c r="F29" s="1" t="s">
        <v>5</v>
      </c>
      <c r="G29" s="1" t="s">
        <v>69</v>
      </c>
      <c r="H29" s="1" t="s">
        <v>85</v>
      </c>
      <c r="I29" s="1">
        <v>120</v>
      </c>
      <c r="J29" s="1" t="s">
        <v>8</v>
      </c>
      <c r="K29" s="1"/>
      <c r="L29" s="1">
        <v>2</v>
      </c>
      <c r="M29" s="1" t="s">
        <v>100</v>
      </c>
      <c r="N29" s="5">
        <v>4020</v>
      </c>
      <c r="O29" s="1" t="s">
        <v>101</v>
      </c>
      <c r="P29" s="4">
        <v>45556</v>
      </c>
      <c r="Q29" s="4">
        <v>45557</v>
      </c>
      <c r="R29" s="4">
        <v>45547</v>
      </c>
      <c r="S29" s="1" t="s">
        <v>67</v>
      </c>
      <c r="T29" s="3">
        <v>10</v>
      </c>
      <c r="U29" s="3" t="s">
        <v>12</v>
      </c>
      <c r="V29" s="1" t="s">
        <v>63</v>
      </c>
      <c r="W29" s="1" t="s">
        <v>14</v>
      </c>
      <c r="X29" s="3" t="s">
        <v>15</v>
      </c>
      <c r="Y29">
        <v>9</v>
      </c>
    </row>
    <row r="30" spans="1:25" x14ac:dyDescent="0.3">
      <c r="A30" s="1" t="s">
        <v>97</v>
      </c>
      <c r="B30" s="1" t="s">
        <v>44</v>
      </c>
      <c r="C30" s="1" t="s">
        <v>98</v>
      </c>
      <c r="D30" s="1" t="s">
        <v>99</v>
      </c>
      <c r="E30" s="1" t="s">
        <v>78</v>
      </c>
      <c r="F30" s="1" t="s">
        <v>5</v>
      </c>
      <c r="G30" s="1" t="s">
        <v>69</v>
      </c>
      <c r="H30" s="1" t="s">
        <v>85</v>
      </c>
      <c r="I30" s="1">
        <v>120</v>
      </c>
      <c r="J30" s="1" t="s">
        <v>8</v>
      </c>
      <c r="K30" s="1"/>
      <c r="L30" s="1">
        <v>2</v>
      </c>
      <c r="M30" s="1" t="s">
        <v>100</v>
      </c>
      <c r="N30" s="5">
        <v>4020</v>
      </c>
      <c r="O30" s="1" t="s">
        <v>101</v>
      </c>
      <c r="P30" s="4">
        <v>45556</v>
      </c>
      <c r="Q30" s="4">
        <v>45557</v>
      </c>
      <c r="R30" s="4">
        <v>45547</v>
      </c>
      <c r="S30" s="1" t="s">
        <v>67</v>
      </c>
      <c r="T30" s="3">
        <v>10</v>
      </c>
      <c r="U30" s="3" t="s">
        <v>12</v>
      </c>
      <c r="V30" s="1" t="s">
        <v>63</v>
      </c>
      <c r="W30" s="1" t="s">
        <v>14</v>
      </c>
      <c r="X30" s="3" t="s">
        <v>15</v>
      </c>
      <c r="Y30">
        <v>9</v>
      </c>
    </row>
    <row r="31" spans="1:25" x14ac:dyDescent="0.3">
      <c r="A31" s="1" t="s">
        <v>97</v>
      </c>
      <c r="B31" s="1" t="s">
        <v>44</v>
      </c>
      <c r="C31" s="1" t="s">
        <v>98</v>
      </c>
      <c r="D31" s="1" t="s">
        <v>99</v>
      </c>
      <c r="E31" s="1" t="s">
        <v>78</v>
      </c>
      <c r="F31" s="1" t="s">
        <v>5</v>
      </c>
      <c r="G31" s="1" t="s">
        <v>69</v>
      </c>
      <c r="H31" s="1" t="s">
        <v>102</v>
      </c>
      <c r="I31" s="1">
        <v>120</v>
      </c>
      <c r="J31" s="1" t="s">
        <v>19</v>
      </c>
      <c r="K31" s="1"/>
      <c r="L31" s="1">
        <v>2</v>
      </c>
      <c r="M31" s="1" t="s">
        <v>103</v>
      </c>
      <c r="N31" s="5">
        <v>4020</v>
      </c>
      <c r="O31" s="1" t="s">
        <v>104</v>
      </c>
      <c r="P31" s="4">
        <v>45556</v>
      </c>
      <c r="Q31" s="4">
        <v>45557</v>
      </c>
      <c r="R31" s="4">
        <v>45547</v>
      </c>
      <c r="S31" s="1" t="s">
        <v>67</v>
      </c>
      <c r="T31" s="3">
        <v>10</v>
      </c>
      <c r="U31" s="3" t="s">
        <v>12</v>
      </c>
      <c r="V31" s="1" t="s">
        <v>63</v>
      </c>
      <c r="W31" s="1" t="s">
        <v>14</v>
      </c>
      <c r="X31" s="3" t="s">
        <v>15</v>
      </c>
      <c r="Y31">
        <v>9</v>
      </c>
    </row>
    <row r="32" spans="1:25" x14ac:dyDescent="0.3">
      <c r="A32" s="1" t="s">
        <v>97</v>
      </c>
      <c r="B32" s="1" t="s">
        <v>44</v>
      </c>
      <c r="C32" s="1" t="s">
        <v>98</v>
      </c>
      <c r="D32" s="1" t="s">
        <v>99</v>
      </c>
      <c r="E32" s="1" t="s">
        <v>78</v>
      </c>
      <c r="F32" s="1" t="s">
        <v>5</v>
      </c>
      <c r="G32" s="1" t="s">
        <v>69</v>
      </c>
      <c r="H32" s="1" t="s">
        <v>102</v>
      </c>
      <c r="I32" s="1">
        <v>120</v>
      </c>
      <c r="J32" s="1" t="s">
        <v>19</v>
      </c>
      <c r="K32" s="1"/>
      <c r="L32" s="1">
        <v>2</v>
      </c>
      <c r="M32" s="1" t="s">
        <v>103</v>
      </c>
      <c r="N32" s="5">
        <v>4020</v>
      </c>
      <c r="O32" s="1" t="s">
        <v>104</v>
      </c>
      <c r="P32" s="4">
        <v>45556</v>
      </c>
      <c r="Q32" s="4">
        <v>45557</v>
      </c>
      <c r="R32" s="4">
        <v>45547</v>
      </c>
      <c r="S32" s="1" t="s">
        <v>67</v>
      </c>
      <c r="T32" s="3">
        <v>10</v>
      </c>
      <c r="U32" s="3" t="s">
        <v>12</v>
      </c>
      <c r="V32" s="1" t="s">
        <v>63</v>
      </c>
      <c r="W32" s="1" t="s">
        <v>14</v>
      </c>
      <c r="X32" s="3" t="s">
        <v>15</v>
      </c>
      <c r="Y32">
        <v>9</v>
      </c>
    </row>
    <row r="33" spans="1:25" x14ac:dyDescent="0.3">
      <c r="A33" s="1" t="s">
        <v>105</v>
      </c>
      <c r="B33" s="1" t="s">
        <v>1</v>
      </c>
      <c r="C33" s="1" t="s">
        <v>106</v>
      </c>
      <c r="D33" s="1" t="s">
        <v>35</v>
      </c>
      <c r="E33" s="1" t="s">
        <v>4</v>
      </c>
      <c r="F33" s="1" t="s">
        <v>5</v>
      </c>
      <c r="G33" s="1" t="s">
        <v>6</v>
      </c>
      <c r="H33" s="1"/>
      <c r="I33" s="1"/>
      <c r="J33" s="1" t="s">
        <v>19</v>
      </c>
      <c r="K33" s="1" t="s">
        <v>19</v>
      </c>
      <c r="L33" s="1">
        <v>1</v>
      </c>
      <c r="M33" s="1" t="s">
        <v>107</v>
      </c>
      <c r="N33" s="5">
        <v>9399</v>
      </c>
      <c r="O33" s="1" t="s">
        <v>104</v>
      </c>
      <c r="P33" s="4">
        <v>45557</v>
      </c>
      <c r="Q33" s="4" t="s">
        <v>7</v>
      </c>
      <c r="R33" s="4">
        <v>45549</v>
      </c>
      <c r="S33" s="1" t="s">
        <v>67</v>
      </c>
      <c r="T33" s="3">
        <v>0</v>
      </c>
      <c r="U33" s="3" t="s">
        <v>29</v>
      </c>
      <c r="V33" s="1" t="s">
        <v>30</v>
      </c>
      <c r="W33" s="1" t="s">
        <v>31</v>
      </c>
      <c r="X33" s="3" t="s">
        <v>32</v>
      </c>
      <c r="Y33">
        <v>8</v>
      </c>
    </row>
    <row r="34" spans="1:25" x14ac:dyDescent="0.3">
      <c r="A34" s="1" t="s">
        <v>108</v>
      </c>
      <c r="B34" s="1" t="s">
        <v>1</v>
      </c>
      <c r="C34" s="1" t="s">
        <v>109</v>
      </c>
      <c r="D34" s="1" t="s">
        <v>18</v>
      </c>
      <c r="E34" s="1" t="s">
        <v>4</v>
      </c>
      <c r="F34" s="1" t="s">
        <v>73</v>
      </c>
      <c r="G34" s="1" t="s">
        <v>110</v>
      </c>
      <c r="H34" s="1"/>
      <c r="I34" s="1"/>
      <c r="J34" s="1"/>
      <c r="K34" s="1"/>
      <c r="L34" s="1">
        <v>1</v>
      </c>
      <c r="M34" s="1" t="s">
        <v>111</v>
      </c>
      <c r="N34" s="5">
        <v>8349</v>
      </c>
      <c r="O34" s="1" t="s">
        <v>104</v>
      </c>
      <c r="P34" s="4">
        <v>45557</v>
      </c>
      <c r="Q34" s="4">
        <v>45559</v>
      </c>
      <c r="R34" s="4">
        <v>45549</v>
      </c>
      <c r="S34" s="1" t="s">
        <v>67</v>
      </c>
      <c r="T34" s="3">
        <v>10</v>
      </c>
      <c r="U34" s="3" t="s">
        <v>12</v>
      </c>
      <c r="V34" s="1" t="s">
        <v>13</v>
      </c>
      <c r="W34" s="1" t="s">
        <v>14</v>
      </c>
      <c r="X34" s="3" t="s">
        <v>15</v>
      </c>
      <c r="Y34">
        <v>8</v>
      </c>
    </row>
    <row r="35" spans="1:25" x14ac:dyDescent="0.3">
      <c r="A35" s="1" t="s">
        <v>112</v>
      </c>
      <c r="B35" s="1" t="s">
        <v>1</v>
      </c>
      <c r="C35" s="1" t="s">
        <v>53</v>
      </c>
      <c r="D35" s="1" t="s">
        <v>3</v>
      </c>
      <c r="E35" s="1" t="s">
        <v>4</v>
      </c>
      <c r="F35" s="1" t="s">
        <v>5</v>
      </c>
      <c r="G35" s="1" t="s">
        <v>6</v>
      </c>
      <c r="H35" s="1"/>
      <c r="I35" s="1"/>
      <c r="J35" s="1" t="s">
        <v>19</v>
      </c>
      <c r="K35" s="1" t="s">
        <v>19</v>
      </c>
      <c r="L35" s="1">
        <v>1</v>
      </c>
      <c r="M35" s="1" t="s">
        <v>113</v>
      </c>
      <c r="N35" s="5">
        <v>9399</v>
      </c>
      <c r="O35" s="1" t="s">
        <v>10</v>
      </c>
      <c r="P35" s="4">
        <v>45559</v>
      </c>
      <c r="Q35" s="4">
        <v>45565</v>
      </c>
      <c r="R35" s="4">
        <v>45548</v>
      </c>
      <c r="S35" s="1" t="s">
        <v>67</v>
      </c>
      <c r="T35" s="3">
        <v>17</v>
      </c>
      <c r="U35" s="3" t="s">
        <v>12</v>
      </c>
      <c r="V35" s="1" t="s">
        <v>13</v>
      </c>
      <c r="W35" s="1" t="s">
        <v>14</v>
      </c>
      <c r="X35" s="3" t="s">
        <v>15</v>
      </c>
      <c r="Y35">
        <v>11</v>
      </c>
    </row>
    <row r="36" spans="1:25" x14ac:dyDescent="0.3">
      <c r="A36" s="1" t="s">
        <v>114</v>
      </c>
      <c r="B36" s="1" t="s">
        <v>1</v>
      </c>
      <c r="C36" s="1" t="s">
        <v>115</v>
      </c>
      <c r="D36" s="1" t="s">
        <v>50</v>
      </c>
      <c r="E36" s="1" t="s">
        <v>4</v>
      </c>
      <c r="F36" s="1" t="s">
        <v>73</v>
      </c>
      <c r="G36" s="1" t="s">
        <v>74</v>
      </c>
      <c r="H36" s="1"/>
      <c r="I36" s="1"/>
      <c r="J36" s="1"/>
      <c r="K36" s="1"/>
      <c r="L36" s="1">
        <v>1</v>
      </c>
      <c r="M36" s="1" t="s">
        <v>75</v>
      </c>
      <c r="N36" s="5">
        <v>7849</v>
      </c>
      <c r="O36" s="1" t="s">
        <v>21</v>
      </c>
      <c r="P36" s="4">
        <v>45561</v>
      </c>
      <c r="Q36" s="4" t="s">
        <v>7</v>
      </c>
      <c r="R36" s="4">
        <v>45547</v>
      </c>
      <c r="S36" s="1" t="s">
        <v>67</v>
      </c>
      <c r="T36" s="3">
        <v>0</v>
      </c>
      <c r="U36" s="3" t="s">
        <v>29</v>
      </c>
      <c r="V36" s="1" t="s">
        <v>13</v>
      </c>
      <c r="W36" s="1" t="s">
        <v>14</v>
      </c>
      <c r="X36" s="3" t="s">
        <v>15</v>
      </c>
      <c r="Y36">
        <v>14</v>
      </c>
    </row>
    <row r="37" spans="1:25" x14ac:dyDescent="0.3">
      <c r="A37" s="1" t="s">
        <v>116</v>
      </c>
      <c r="B37" s="1" t="s">
        <v>1</v>
      </c>
      <c r="C37" s="1" t="s">
        <v>117</v>
      </c>
      <c r="D37" s="1" t="s">
        <v>3</v>
      </c>
      <c r="E37" s="1" t="s">
        <v>51</v>
      </c>
      <c r="F37" s="1" t="s">
        <v>5</v>
      </c>
      <c r="G37" s="1" t="s">
        <v>118</v>
      </c>
      <c r="H37" s="1" t="s">
        <v>26</v>
      </c>
      <c r="I37" s="1">
        <v>100</v>
      </c>
      <c r="J37" s="1" t="s">
        <v>19</v>
      </c>
      <c r="K37" s="1"/>
      <c r="L37" s="1">
        <v>1</v>
      </c>
      <c r="M37" s="1" t="s">
        <v>119</v>
      </c>
      <c r="N37" s="5">
        <v>9450</v>
      </c>
      <c r="O37" s="1" t="s">
        <v>21</v>
      </c>
      <c r="P37" s="4">
        <v>45561</v>
      </c>
      <c r="Q37" s="4" t="s">
        <v>7</v>
      </c>
      <c r="R37" s="4">
        <v>45547</v>
      </c>
      <c r="S37" s="1" t="s">
        <v>67</v>
      </c>
      <c r="T37" s="3">
        <v>0</v>
      </c>
      <c r="U37" s="3" t="s">
        <v>29</v>
      </c>
      <c r="V37" s="1" t="s">
        <v>59</v>
      </c>
      <c r="W37" s="1" t="s">
        <v>60</v>
      </c>
      <c r="X37" s="3" t="s">
        <v>32</v>
      </c>
      <c r="Y37">
        <v>14</v>
      </c>
    </row>
    <row r="38" spans="1:25" x14ac:dyDescent="0.3">
      <c r="A38" s="1" t="s">
        <v>120</v>
      </c>
      <c r="B38" s="1" t="s">
        <v>1</v>
      </c>
      <c r="C38" s="1" t="s">
        <v>84</v>
      </c>
      <c r="D38" s="1" t="s">
        <v>50</v>
      </c>
      <c r="E38" s="1" t="s">
        <v>4</v>
      </c>
      <c r="F38" s="1" t="s">
        <v>5</v>
      </c>
      <c r="G38" s="1" t="s">
        <v>69</v>
      </c>
      <c r="H38" s="1" t="s">
        <v>93</v>
      </c>
      <c r="I38" s="1">
        <v>120</v>
      </c>
      <c r="J38" s="1" t="s">
        <v>19</v>
      </c>
      <c r="K38" s="1"/>
      <c r="L38" s="1">
        <v>1</v>
      </c>
      <c r="M38" s="1" t="s">
        <v>121</v>
      </c>
      <c r="N38" s="5">
        <v>7460</v>
      </c>
      <c r="O38" s="1" t="s">
        <v>10</v>
      </c>
      <c r="P38" s="4">
        <v>45561</v>
      </c>
      <c r="Q38" s="4">
        <v>45568</v>
      </c>
      <c r="R38" s="4">
        <v>45548</v>
      </c>
      <c r="S38" s="1" t="s">
        <v>67</v>
      </c>
      <c r="T38" s="3">
        <v>20</v>
      </c>
      <c r="U38" s="3" t="s">
        <v>12</v>
      </c>
      <c r="V38" s="1" t="s">
        <v>63</v>
      </c>
      <c r="W38" s="1" t="s">
        <v>14</v>
      </c>
      <c r="X38" s="3" t="s">
        <v>15</v>
      </c>
      <c r="Y38">
        <v>13</v>
      </c>
    </row>
    <row r="39" spans="1:25" x14ac:dyDescent="0.3">
      <c r="A39" s="1" t="s">
        <v>122</v>
      </c>
      <c r="B39" s="1" t="s">
        <v>1</v>
      </c>
      <c r="C39" s="1" t="s">
        <v>84</v>
      </c>
      <c r="D39" s="1" t="s">
        <v>50</v>
      </c>
      <c r="E39" s="1" t="s">
        <v>4</v>
      </c>
      <c r="F39" s="1" t="s">
        <v>5</v>
      </c>
      <c r="G39" s="1" t="s">
        <v>69</v>
      </c>
      <c r="H39" s="1" t="s">
        <v>123</v>
      </c>
      <c r="I39" s="1">
        <v>140</v>
      </c>
      <c r="J39" s="1" t="s">
        <v>124</v>
      </c>
      <c r="K39" s="1" t="s">
        <v>41</v>
      </c>
      <c r="L39" s="1">
        <v>1</v>
      </c>
      <c r="M39" s="1" t="s">
        <v>125</v>
      </c>
      <c r="N39" s="5">
        <v>9528</v>
      </c>
      <c r="O39" s="1" t="s">
        <v>10</v>
      </c>
      <c r="P39" s="4">
        <v>45561</v>
      </c>
      <c r="Q39" s="4">
        <v>45568</v>
      </c>
      <c r="R39" s="4">
        <v>45548</v>
      </c>
      <c r="S39" s="1" t="s">
        <v>67</v>
      </c>
      <c r="T39" s="3">
        <v>20</v>
      </c>
      <c r="U39" s="3" t="s">
        <v>12</v>
      </c>
      <c r="V39" s="1" t="s">
        <v>63</v>
      </c>
      <c r="W39" s="1" t="s">
        <v>14</v>
      </c>
      <c r="X39" s="3" t="s">
        <v>15</v>
      </c>
      <c r="Y39">
        <v>13</v>
      </c>
    </row>
    <row r="40" spans="1:25" x14ac:dyDescent="0.3">
      <c r="A40" s="1" t="s">
        <v>126</v>
      </c>
      <c r="B40" s="1" t="s">
        <v>1</v>
      </c>
      <c r="C40" s="1" t="s">
        <v>53</v>
      </c>
      <c r="D40" s="1" t="s">
        <v>3</v>
      </c>
      <c r="E40" s="1" t="s">
        <v>4</v>
      </c>
      <c r="F40" s="1" t="s">
        <v>5</v>
      </c>
      <c r="G40" s="1" t="s">
        <v>25</v>
      </c>
      <c r="H40" s="1" t="s">
        <v>26</v>
      </c>
      <c r="I40" s="1">
        <v>120</v>
      </c>
      <c r="J40" s="1" t="s">
        <v>41</v>
      </c>
      <c r="K40" s="1"/>
      <c r="L40" s="1">
        <v>1</v>
      </c>
      <c r="M40" s="1" t="s">
        <v>127</v>
      </c>
      <c r="N40" s="5">
        <v>12999</v>
      </c>
      <c r="O40" s="1" t="s">
        <v>10</v>
      </c>
      <c r="P40" s="4">
        <v>45562</v>
      </c>
      <c r="Q40" s="4">
        <v>45567</v>
      </c>
      <c r="R40" s="4">
        <v>45549</v>
      </c>
      <c r="S40" s="1" t="s">
        <v>67</v>
      </c>
      <c r="T40" s="3">
        <v>18</v>
      </c>
      <c r="U40" s="3" t="s">
        <v>12</v>
      </c>
      <c r="V40" s="1" t="s">
        <v>63</v>
      </c>
      <c r="W40" s="1" t="s">
        <v>14</v>
      </c>
      <c r="X40" s="3" t="s">
        <v>15</v>
      </c>
      <c r="Y40">
        <v>13</v>
      </c>
    </row>
    <row r="41" spans="1:25" x14ac:dyDescent="0.3">
      <c r="A41" s="1" t="s">
        <v>128</v>
      </c>
      <c r="B41" s="1" t="s">
        <v>1</v>
      </c>
      <c r="C41" s="1" t="s">
        <v>129</v>
      </c>
      <c r="D41" s="1" t="s">
        <v>50</v>
      </c>
      <c r="E41" s="1" t="s">
        <v>4</v>
      </c>
      <c r="F41" s="1" t="s">
        <v>5</v>
      </c>
      <c r="G41" s="1" t="s">
        <v>25</v>
      </c>
      <c r="H41" s="1" t="s">
        <v>40</v>
      </c>
      <c r="I41" s="1">
        <v>90</v>
      </c>
      <c r="J41" s="1" t="s">
        <v>19</v>
      </c>
      <c r="K41" s="1"/>
      <c r="L41" s="1">
        <v>1</v>
      </c>
      <c r="M41" s="1" t="s">
        <v>130</v>
      </c>
      <c r="N41" s="5">
        <v>5999</v>
      </c>
      <c r="O41" s="1" t="s">
        <v>10</v>
      </c>
      <c r="P41" s="4">
        <v>45564</v>
      </c>
      <c r="Q41" s="4" t="s">
        <v>7</v>
      </c>
      <c r="R41" s="4">
        <v>45547</v>
      </c>
      <c r="S41" s="1" t="s">
        <v>67</v>
      </c>
      <c r="T41" s="3">
        <v>0</v>
      </c>
      <c r="U41" s="3" t="s">
        <v>29</v>
      </c>
      <c r="V41" s="1" t="s">
        <v>7</v>
      </c>
      <c r="W41" s="1" t="s">
        <v>31</v>
      </c>
      <c r="X41" s="3" t="s">
        <v>32</v>
      </c>
      <c r="Y41">
        <v>17</v>
      </c>
    </row>
    <row r="42" spans="1:25" x14ac:dyDescent="0.3">
      <c r="A42" s="1" t="s">
        <v>131</v>
      </c>
      <c r="B42" s="1" t="s">
        <v>1</v>
      </c>
      <c r="C42" s="1" t="s">
        <v>132</v>
      </c>
      <c r="D42" s="1" t="s">
        <v>3</v>
      </c>
      <c r="E42" s="1" t="s">
        <v>4</v>
      </c>
      <c r="F42" s="1" t="s">
        <v>5</v>
      </c>
      <c r="G42" s="1" t="s">
        <v>25</v>
      </c>
      <c r="H42" s="1" t="s">
        <v>26</v>
      </c>
      <c r="I42" s="1">
        <v>100</v>
      </c>
      <c r="J42" s="1" t="s">
        <v>19</v>
      </c>
      <c r="K42" s="1"/>
      <c r="L42" s="1">
        <v>2</v>
      </c>
      <c r="M42" s="1" t="s">
        <v>133</v>
      </c>
      <c r="N42" s="5">
        <v>11949</v>
      </c>
      <c r="O42" s="1" t="s">
        <v>21</v>
      </c>
      <c r="P42" s="4">
        <v>45564</v>
      </c>
      <c r="Q42" s="4">
        <v>45567</v>
      </c>
      <c r="R42" s="4">
        <v>45547</v>
      </c>
      <c r="S42" s="1" t="s">
        <v>67</v>
      </c>
      <c r="T42" s="3">
        <v>20</v>
      </c>
      <c r="U42" s="3" t="s">
        <v>12</v>
      </c>
      <c r="V42" s="1" t="s">
        <v>63</v>
      </c>
      <c r="W42" s="1" t="s">
        <v>14</v>
      </c>
      <c r="X42" s="3" t="s">
        <v>15</v>
      </c>
      <c r="Y42">
        <v>17</v>
      </c>
    </row>
    <row r="43" spans="1:25" x14ac:dyDescent="0.3">
      <c r="A43" s="1" t="s">
        <v>131</v>
      </c>
      <c r="B43" s="1" t="s">
        <v>1</v>
      </c>
      <c r="C43" s="1" t="s">
        <v>132</v>
      </c>
      <c r="D43" s="1" t="s">
        <v>3</v>
      </c>
      <c r="E43" s="1" t="s">
        <v>4</v>
      </c>
      <c r="F43" s="1" t="s">
        <v>5</v>
      </c>
      <c r="G43" s="1" t="s">
        <v>25</v>
      </c>
      <c r="H43" s="1" t="s">
        <v>26</v>
      </c>
      <c r="I43" s="1">
        <v>100</v>
      </c>
      <c r="J43" s="1" t="s">
        <v>19</v>
      </c>
      <c r="K43" s="1"/>
      <c r="L43" s="1">
        <v>2</v>
      </c>
      <c r="M43" s="1" t="s">
        <v>133</v>
      </c>
      <c r="N43" s="5">
        <v>11949</v>
      </c>
      <c r="O43" s="1" t="s">
        <v>21</v>
      </c>
      <c r="P43" s="4">
        <v>45564</v>
      </c>
      <c r="Q43" s="4">
        <v>45567</v>
      </c>
      <c r="R43" s="4">
        <v>45547</v>
      </c>
      <c r="S43" s="1" t="s">
        <v>67</v>
      </c>
      <c r="T43" s="3">
        <v>20</v>
      </c>
      <c r="U43" s="3" t="s">
        <v>12</v>
      </c>
      <c r="V43" s="1" t="s">
        <v>63</v>
      </c>
      <c r="W43" s="1" t="s">
        <v>14</v>
      </c>
      <c r="X43" s="3" t="s">
        <v>15</v>
      </c>
      <c r="Y43">
        <v>17</v>
      </c>
    </row>
    <row r="44" spans="1:25" x14ac:dyDescent="0.3">
      <c r="A44" s="1" t="s">
        <v>48</v>
      </c>
      <c r="B44" s="1" t="s">
        <v>1</v>
      </c>
      <c r="C44" s="1" t="s">
        <v>134</v>
      </c>
      <c r="D44" s="1" t="s">
        <v>50</v>
      </c>
      <c r="E44" s="1" t="s">
        <v>4</v>
      </c>
      <c r="F44" s="1" t="s">
        <v>5</v>
      </c>
      <c r="G44" s="1" t="s">
        <v>118</v>
      </c>
      <c r="H44" s="1" t="s">
        <v>26</v>
      </c>
      <c r="I44" s="1">
        <v>80</v>
      </c>
      <c r="J44" s="1" t="s">
        <v>8</v>
      </c>
      <c r="K44" s="1"/>
      <c r="L44" s="1">
        <v>1</v>
      </c>
      <c r="M44" s="1" t="s">
        <v>135</v>
      </c>
      <c r="N44" s="5">
        <v>16599</v>
      </c>
      <c r="O44" s="1" t="s">
        <v>10</v>
      </c>
      <c r="P44" s="4">
        <v>45565</v>
      </c>
      <c r="Q44" s="4">
        <v>45568</v>
      </c>
      <c r="R44" s="4">
        <v>45548</v>
      </c>
      <c r="S44" s="1" t="s">
        <v>67</v>
      </c>
      <c r="T44" s="3">
        <v>20</v>
      </c>
      <c r="U44" s="3" t="s">
        <v>12</v>
      </c>
      <c r="V44" s="1" t="s">
        <v>63</v>
      </c>
      <c r="W44" s="1" t="s">
        <v>14</v>
      </c>
      <c r="X44" s="3" t="s">
        <v>15</v>
      </c>
      <c r="Y44">
        <v>17</v>
      </c>
    </row>
    <row r="45" spans="1:25" x14ac:dyDescent="0.3">
      <c r="A45" s="1" t="s">
        <v>136</v>
      </c>
      <c r="B45" s="1" t="s">
        <v>1</v>
      </c>
      <c r="C45" s="1" t="s">
        <v>34</v>
      </c>
      <c r="D45" s="1" t="s">
        <v>35</v>
      </c>
      <c r="E45" s="1" t="s">
        <v>4</v>
      </c>
      <c r="F45" s="1" t="s">
        <v>5</v>
      </c>
      <c r="G45" s="1" t="s">
        <v>25</v>
      </c>
      <c r="H45" s="1" t="s">
        <v>26</v>
      </c>
      <c r="I45" s="1">
        <v>80</v>
      </c>
      <c r="J45" s="1" t="s">
        <v>8</v>
      </c>
      <c r="K45" s="1"/>
      <c r="L45" s="1">
        <v>1</v>
      </c>
      <c r="M45" s="1" t="s">
        <v>137</v>
      </c>
      <c r="N45" s="5">
        <v>10999</v>
      </c>
      <c r="O45" s="1" t="s">
        <v>10</v>
      </c>
      <c r="P45" s="4">
        <v>45565</v>
      </c>
      <c r="Q45" s="4">
        <v>45581</v>
      </c>
      <c r="R45" s="4">
        <v>45548</v>
      </c>
      <c r="S45" s="1" t="s">
        <v>67</v>
      </c>
      <c r="T45" s="3">
        <v>2</v>
      </c>
      <c r="U45" s="3" t="s">
        <v>29</v>
      </c>
      <c r="V45" s="1" t="s">
        <v>13</v>
      </c>
      <c r="W45" s="1" t="s">
        <v>14</v>
      </c>
      <c r="X45" s="3" t="s">
        <v>15</v>
      </c>
      <c r="Y45">
        <v>17</v>
      </c>
    </row>
    <row r="46" spans="1:25" x14ac:dyDescent="0.3">
      <c r="A46" s="1" t="s">
        <v>138</v>
      </c>
      <c r="B46" s="1" t="s">
        <v>1</v>
      </c>
      <c r="C46" s="1" t="s">
        <v>139</v>
      </c>
      <c r="D46" s="1" t="s">
        <v>35</v>
      </c>
      <c r="E46" s="1" t="s">
        <v>4</v>
      </c>
      <c r="F46" s="1" t="s">
        <v>5</v>
      </c>
      <c r="G46" s="1" t="s">
        <v>25</v>
      </c>
      <c r="H46" s="1" t="s">
        <v>26</v>
      </c>
      <c r="I46" s="1">
        <v>140</v>
      </c>
      <c r="J46" s="1" t="s">
        <v>27</v>
      </c>
      <c r="K46" s="1"/>
      <c r="L46" s="1">
        <v>1</v>
      </c>
      <c r="M46" s="1" t="s">
        <v>140</v>
      </c>
      <c r="N46" s="5">
        <v>13099</v>
      </c>
      <c r="O46" s="1" t="s">
        <v>10</v>
      </c>
      <c r="P46" s="4">
        <v>45565</v>
      </c>
      <c r="Q46" s="4">
        <v>45568</v>
      </c>
      <c r="R46" s="4">
        <v>45548</v>
      </c>
      <c r="S46" s="1" t="s">
        <v>67</v>
      </c>
      <c r="T46" s="3">
        <v>20</v>
      </c>
      <c r="U46" s="3" t="s">
        <v>12</v>
      </c>
      <c r="V46" s="1" t="s">
        <v>13</v>
      </c>
      <c r="W46" s="1" t="s">
        <v>14</v>
      </c>
      <c r="X46" s="3" t="s">
        <v>15</v>
      </c>
      <c r="Y46">
        <v>17</v>
      </c>
    </row>
    <row r="47" spans="1:25" x14ac:dyDescent="0.3">
      <c r="A47" s="1" t="s">
        <v>141</v>
      </c>
      <c r="B47" s="1" t="s">
        <v>1</v>
      </c>
      <c r="C47" s="1" t="s">
        <v>53</v>
      </c>
      <c r="D47" s="1" t="s">
        <v>3</v>
      </c>
      <c r="E47" s="1" t="s">
        <v>4</v>
      </c>
      <c r="F47" s="1" t="s">
        <v>5</v>
      </c>
      <c r="G47" s="1" t="s">
        <v>25</v>
      </c>
      <c r="H47" s="1" t="s">
        <v>82</v>
      </c>
      <c r="I47" s="1">
        <v>120</v>
      </c>
      <c r="J47" s="1" t="s">
        <v>142</v>
      </c>
      <c r="K47" s="1"/>
      <c r="L47" s="1">
        <v>1</v>
      </c>
      <c r="M47" s="1" t="s">
        <v>143</v>
      </c>
      <c r="N47" s="5">
        <v>13849</v>
      </c>
      <c r="O47" s="1" t="s">
        <v>10</v>
      </c>
      <c r="P47" s="4">
        <v>45565</v>
      </c>
      <c r="Q47" s="4">
        <v>45585</v>
      </c>
      <c r="R47" s="4">
        <v>45548</v>
      </c>
      <c r="S47" s="1" t="s">
        <v>67</v>
      </c>
      <c r="T47" s="3">
        <v>6</v>
      </c>
      <c r="U47" s="3" t="s">
        <v>29</v>
      </c>
      <c r="V47" s="1" t="s">
        <v>63</v>
      </c>
      <c r="W47" s="1" t="s">
        <v>14</v>
      </c>
      <c r="X47" s="3" t="s">
        <v>15</v>
      </c>
      <c r="Y47">
        <v>17</v>
      </c>
    </row>
    <row r="48" spans="1:25" x14ac:dyDescent="0.3">
      <c r="A48" s="1" t="s">
        <v>144</v>
      </c>
      <c r="B48" s="1" t="s">
        <v>1</v>
      </c>
      <c r="C48" s="1" t="s">
        <v>145</v>
      </c>
      <c r="D48" s="1" t="s">
        <v>50</v>
      </c>
      <c r="E48" s="1" t="s">
        <v>4</v>
      </c>
      <c r="F48" s="1" t="s">
        <v>45</v>
      </c>
      <c r="G48" s="1" t="s">
        <v>46</v>
      </c>
      <c r="H48" s="1"/>
      <c r="I48" s="1"/>
      <c r="J48" s="1" t="s">
        <v>19</v>
      </c>
      <c r="K48" s="1" t="s">
        <v>41</v>
      </c>
      <c r="L48" s="1">
        <v>1</v>
      </c>
      <c r="M48" s="1" t="s">
        <v>146</v>
      </c>
      <c r="N48" s="5">
        <v>21999</v>
      </c>
      <c r="O48" s="1" t="s">
        <v>10</v>
      </c>
      <c r="P48" s="4">
        <v>45565</v>
      </c>
      <c r="Q48" s="4" t="s">
        <v>7</v>
      </c>
      <c r="R48" s="4">
        <v>45548</v>
      </c>
      <c r="S48" s="1" t="s">
        <v>67</v>
      </c>
      <c r="T48" s="3">
        <v>0</v>
      </c>
      <c r="U48" s="3" t="s">
        <v>29</v>
      </c>
      <c r="V48" s="1" t="s">
        <v>63</v>
      </c>
      <c r="W48" s="1" t="s">
        <v>14</v>
      </c>
      <c r="X48" s="3" t="s">
        <v>15</v>
      </c>
      <c r="Y48">
        <v>17</v>
      </c>
    </row>
    <row r="49" spans="1:25" x14ac:dyDescent="0.3">
      <c r="A49" s="1" t="s">
        <v>147</v>
      </c>
      <c r="B49" s="1" t="s">
        <v>1</v>
      </c>
      <c r="C49" s="1" t="s">
        <v>53</v>
      </c>
      <c r="D49" s="1" t="s">
        <v>3</v>
      </c>
      <c r="E49" s="1" t="s">
        <v>4</v>
      </c>
      <c r="F49" s="1" t="s">
        <v>5</v>
      </c>
      <c r="G49" s="1" t="s">
        <v>46</v>
      </c>
      <c r="H49" s="1" t="s">
        <v>26</v>
      </c>
      <c r="I49" s="1">
        <v>80</v>
      </c>
      <c r="J49" s="1" t="s">
        <v>8</v>
      </c>
      <c r="K49" s="1"/>
      <c r="L49" s="1">
        <v>1</v>
      </c>
      <c r="M49" s="1" t="s">
        <v>137</v>
      </c>
      <c r="N49" s="5">
        <v>10999</v>
      </c>
      <c r="O49" s="1" t="s">
        <v>10</v>
      </c>
      <c r="P49" s="4">
        <v>45565</v>
      </c>
      <c r="Q49" s="4">
        <v>45580</v>
      </c>
      <c r="R49" s="4">
        <v>45548</v>
      </c>
      <c r="S49" s="1" t="s">
        <v>67</v>
      </c>
      <c r="T49" s="3">
        <v>1</v>
      </c>
      <c r="U49" s="3" t="s">
        <v>29</v>
      </c>
      <c r="V49" s="1" t="s">
        <v>63</v>
      </c>
      <c r="W49" s="1" t="s">
        <v>14</v>
      </c>
      <c r="X49" s="3" t="s">
        <v>15</v>
      </c>
      <c r="Y49">
        <v>17</v>
      </c>
    </row>
    <row r="50" spans="1:25" x14ac:dyDescent="0.3">
      <c r="A50" s="1" t="s">
        <v>148</v>
      </c>
      <c r="B50" s="1" t="s">
        <v>1</v>
      </c>
      <c r="C50" s="1" t="s">
        <v>91</v>
      </c>
      <c r="D50" s="1" t="s">
        <v>50</v>
      </c>
      <c r="E50" s="1" t="s">
        <v>4</v>
      </c>
      <c r="F50" s="1" t="s">
        <v>5</v>
      </c>
      <c r="G50" s="1" t="s">
        <v>46</v>
      </c>
      <c r="H50" s="1" t="s">
        <v>26</v>
      </c>
      <c r="I50" s="1">
        <v>90</v>
      </c>
      <c r="J50" s="1" t="s">
        <v>19</v>
      </c>
      <c r="K50" s="1"/>
      <c r="L50" s="1">
        <v>1</v>
      </c>
      <c r="M50" s="1" t="s">
        <v>149</v>
      </c>
      <c r="N50" s="5">
        <v>17249</v>
      </c>
      <c r="O50" s="1" t="s">
        <v>10</v>
      </c>
      <c r="P50" s="4">
        <v>45565</v>
      </c>
      <c r="Q50" s="4">
        <v>45569</v>
      </c>
      <c r="R50" s="4">
        <v>45548</v>
      </c>
      <c r="S50" s="1" t="s">
        <v>67</v>
      </c>
      <c r="T50" s="3">
        <v>21</v>
      </c>
      <c r="U50" s="3" t="s">
        <v>12</v>
      </c>
      <c r="V50" s="1" t="s">
        <v>63</v>
      </c>
      <c r="W50" s="1" t="s">
        <v>14</v>
      </c>
      <c r="X50" s="3" t="s">
        <v>15</v>
      </c>
      <c r="Y50">
        <v>17</v>
      </c>
    </row>
    <row r="51" spans="1:25" x14ac:dyDescent="0.3">
      <c r="A51" s="1" t="s">
        <v>150</v>
      </c>
      <c r="B51" s="1" t="s">
        <v>1</v>
      </c>
      <c r="C51" s="1" t="s">
        <v>151</v>
      </c>
      <c r="D51" s="1" t="s">
        <v>3</v>
      </c>
      <c r="E51" s="1" t="s">
        <v>4</v>
      </c>
      <c r="F51" s="1" t="s">
        <v>73</v>
      </c>
      <c r="G51" s="1" t="s">
        <v>46</v>
      </c>
      <c r="H51" s="1"/>
      <c r="I51" s="1"/>
      <c r="J51" s="1"/>
      <c r="K51" s="1"/>
      <c r="L51" s="1">
        <v>1</v>
      </c>
      <c r="M51" s="1" t="s">
        <v>152</v>
      </c>
      <c r="N51" s="5">
        <v>8349</v>
      </c>
      <c r="O51" s="1" t="s">
        <v>10</v>
      </c>
      <c r="P51" s="4">
        <v>45581</v>
      </c>
      <c r="Q51" s="4">
        <v>45586</v>
      </c>
      <c r="R51" s="4">
        <v>45549</v>
      </c>
      <c r="S51" s="1" t="s">
        <v>67</v>
      </c>
      <c r="T51" s="3">
        <v>6</v>
      </c>
      <c r="U51" s="3" t="s">
        <v>12</v>
      </c>
      <c r="V51" s="1" t="s">
        <v>63</v>
      </c>
      <c r="W51" s="1" t="s">
        <v>14</v>
      </c>
      <c r="X51" s="3" t="s">
        <v>15</v>
      </c>
      <c r="Y51">
        <v>1</v>
      </c>
    </row>
    <row r="52" spans="1:25" x14ac:dyDescent="0.3">
      <c r="A52" s="1" t="s">
        <v>153</v>
      </c>
      <c r="B52" s="1" t="s">
        <v>1</v>
      </c>
      <c r="C52" s="1" t="s">
        <v>72</v>
      </c>
      <c r="D52" s="1" t="s">
        <v>50</v>
      </c>
      <c r="E52" s="1" t="s">
        <v>4</v>
      </c>
      <c r="F52" s="1" t="s">
        <v>73</v>
      </c>
      <c r="G52" s="1" t="s">
        <v>46</v>
      </c>
      <c r="H52" s="1"/>
      <c r="I52" s="1"/>
      <c r="J52" s="1"/>
      <c r="K52" s="1"/>
      <c r="L52" s="1">
        <v>1</v>
      </c>
      <c r="M52" s="1" t="s">
        <v>37</v>
      </c>
      <c r="N52" s="5">
        <v>7849</v>
      </c>
      <c r="O52" s="1" t="s">
        <v>10</v>
      </c>
      <c r="P52" s="4">
        <v>45594</v>
      </c>
      <c r="Q52" s="4">
        <v>45595</v>
      </c>
      <c r="R52" s="4">
        <v>45549</v>
      </c>
      <c r="S52" s="1" t="s">
        <v>67</v>
      </c>
      <c r="T52" s="3">
        <v>15</v>
      </c>
      <c r="U52" s="3" t="s">
        <v>12</v>
      </c>
      <c r="V52" s="1" t="s">
        <v>63</v>
      </c>
      <c r="W52" s="1" t="s">
        <v>14</v>
      </c>
      <c r="X52" s="3" t="s">
        <v>15</v>
      </c>
      <c r="Y52">
        <v>14</v>
      </c>
    </row>
    <row r="53" spans="1:25" x14ac:dyDescent="0.3">
      <c r="A53" s="1" t="s">
        <v>154</v>
      </c>
      <c r="B53" s="1" t="s">
        <v>1</v>
      </c>
      <c r="C53" s="1" t="s">
        <v>53</v>
      </c>
      <c r="D53" s="1" t="s">
        <v>3</v>
      </c>
      <c r="E53" s="1" t="s">
        <v>4</v>
      </c>
      <c r="F53" s="1" t="s">
        <v>5</v>
      </c>
      <c r="G53" s="1" t="s">
        <v>46</v>
      </c>
      <c r="H53" s="1"/>
      <c r="I53" s="1"/>
      <c r="J53" s="1" t="s">
        <v>19</v>
      </c>
      <c r="K53" s="1" t="s">
        <v>19</v>
      </c>
      <c r="L53" s="1">
        <v>1</v>
      </c>
      <c r="M53" s="1" t="s">
        <v>155</v>
      </c>
      <c r="N53" s="5">
        <v>9399</v>
      </c>
      <c r="O53" s="1" t="s">
        <v>104</v>
      </c>
      <c r="P53" s="4">
        <v>45594</v>
      </c>
      <c r="Q53" s="4">
        <v>45580</v>
      </c>
      <c r="R53" s="4">
        <v>45549</v>
      </c>
      <c r="S53" s="1" t="s">
        <v>67</v>
      </c>
      <c r="T53" s="3">
        <v>31</v>
      </c>
      <c r="U53" s="3" t="s">
        <v>12</v>
      </c>
      <c r="V53" s="1" t="s">
        <v>63</v>
      </c>
      <c r="W53" s="1" t="s">
        <v>14</v>
      </c>
      <c r="X53" s="3" t="s">
        <v>15</v>
      </c>
      <c r="Y53">
        <v>14</v>
      </c>
    </row>
    <row r="54" spans="1:25" x14ac:dyDescent="0.3">
      <c r="A54" s="1" t="s">
        <v>156</v>
      </c>
      <c r="B54" s="1" t="s">
        <v>1</v>
      </c>
      <c r="C54" s="1" t="s">
        <v>157</v>
      </c>
      <c r="D54" s="1" t="s">
        <v>3</v>
      </c>
      <c r="E54" s="1" t="s">
        <v>4</v>
      </c>
      <c r="F54" s="1" t="s">
        <v>5</v>
      </c>
      <c r="G54" s="1" t="s">
        <v>46</v>
      </c>
      <c r="H54" s="1" t="s">
        <v>93</v>
      </c>
      <c r="I54" s="1">
        <v>140</v>
      </c>
      <c r="J54" s="1" t="s">
        <v>19</v>
      </c>
      <c r="K54" s="1"/>
      <c r="L54" s="1">
        <v>1</v>
      </c>
      <c r="M54" s="1" t="s">
        <v>158</v>
      </c>
      <c r="N54" s="5">
        <v>11817</v>
      </c>
      <c r="O54" s="1" t="s">
        <v>104</v>
      </c>
      <c r="P54" s="4">
        <v>45594</v>
      </c>
      <c r="Q54" s="4">
        <v>45580</v>
      </c>
      <c r="R54" s="4">
        <v>45549</v>
      </c>
      <c r="S54" s="1" t="s">
        <v>67</v>
      </c>
      <c r="T54" s="3">
        <v>31</v>
      </c>
      <c r="U54" s="3" t="s">
        <v>12</v>
      </c>
      <c r="V54" s="1" t="s">
        <v>63</v>
      </c>
      <c r="W54" s="1" t="s">
        <v>14</v>
      </c>
      <c r="X54" s="3" t="s">
        <v>15</v>
      </c>
      <c r="Y54">
        <v>14</v>
      </c>
    </row>
    <row r="55" spans="1:25" x14ac:dyDescent="0.3">
      <c r="A55" s="1" t="s">
        <v>159</v>
      </c>
      <c r="B55" s="1" t="s">
        <v>1</v>
      </c>
      <c r="C55" s="1" t="s">
        <v>134</v>
      </c>
      <c r="D55" s="1" t="s">
        <v>50</v>
      </c>
      <c r="E55" s="1" t="s">
        <v>4</v>
      </c>
      <c r="F55" s="1" t="s">
        <v>73</v>
      </c>
      <c r="G55" s="1" t="s">
        <v>110</v>
      </c>
      <c r="H55" s="1"/>
      <c r="I55" s="1"/>
      <c r="J55" s="1"/>
      <c r="K55" s="1"/>
      <c r="L55" s="1">
        <v>1</v>
      </c>
      <c r="M55" s="1" t="s">
        <v>160</v>
      </c>
      <c r="N55" s="5">
        <v>8349</v>
      </c>
      <c r="O55" s="1" t="s">
        <v>104</v>
      </c>
      <c r="P55" s="4">
        <v>45594</v>
      </c>
      <c r="Q55" s="4">
        <v>45584</v>
      </c>
      <c r="R55" s="4">
        <v>45549</v>
      </c>
      <c r="S55" s="1" t="s">
        <v>67</v>
      </c>
      <c r="T55" s="3">
        <v>4</v>
      </c>
      <c r="U55" s="3" t="s">
        <v>29</v>
      </c>
      <c r="V55" s="1" t="s">
        <v>63</v>
      </c>
      <c r="W55" s="1" t="s">
        <v>14</v>
      </c>
      <c r="X55" s="3" t="s">
        <v>15</v>
      </c>
      <c r="Y55">
        <v>14</v>
      </c>
    </row>
    <row r="56" spans="1:25" x14ac:dyDescent="0.3">
      <c r="A56" s="1" t="s">
        <v>161</v>
      </c>
      <c r="B56" s="1" t="s">
        <v>1</v>
      </c>
      <c r="C56" s="1" t="s">
        <v>162</v>
      </c>
      <c r="D56" s="1" t="s">
        <v>50</v>
      </c>
      <c r="E56" s="1" t="s">
        <v>4</v>
      </c>
      <c r="F56" s="1" t="s">
        <v>5</v>
      </c>
      <c r="G56" s="1" t="s">
        <v>69</v>
      </c>
      <c r="H56" s="1" t="s">
        <v>85</v>
      </c>
      <c r="I56" s="1">
        <v>120</v>
      </c>
      <c r="J56" s="1" t="s">
        <v>8</v>
      </c>
      <c r="K56" s="1"/>
      <c r="L56" s="1">
        <v>2</v>
      </c>
      <c r="M56" s="1" t="s">
        <v>163</v>
      </c>
      <c r="N56" s="5">
        <v>17886</v>
      </c>
      <c r="O56" s="1" t="s">
        <v>104</v>
      </c>
      <c r="P56" s="4">
        <v>45594</v>
      </c>
      <c r="Q56" s="4" t="s">
        <v>7</v>
      </c>
      <c r="R56" s="4">
        <v>45549</v>
      </c>
      <c r="S56" s="1" t="s">
        <v>67</v>
      </c>
      <c r="T56" s="3">
        <v>0</v>
      </c>
      <c r="U56" s="3" t="s">
        <v>29</v>
      </c>
      <c r="V56" s="1" t="s">
        <v>59</v>
      </c>
      <c r="W56" s="1" t="s">
        <v>60</v>
      </c>
      <c r="X56" s="3" t="s">
        <v>32</v>
      </c>
      <c r="Y56">
        <v>14</v>
      </c>
    </row>
    <row r="57" spans="1:25" x14ac:dyDescent="0.3">
      <c r="A57" s="1" t="s">
        <v>161</v>
      </c>
      <c r="B57" s="1" t="s">
        <v>1</v>
      </c>
      <c r="C57" s="1" t="s">
        <v>162</v>
      </c>
      <c r="D57" s="1" t="s">
        <v>50</v>
      </c>
      <c r="E57" s="1" t="s">
        <v>4</v>
      </c>
      <c r="F57" s="1" t="s">
        <v>5</v>
      </c>
      <c r="G57" s="1" t="s">
        <v>69</v>
      </c>
      <c r="H57" s="1" t="s">
        <v>85</v>
      </c>
      <c r="I57" s="1">
        <v>120</v>
      </c>
      <c r="J57" s="1" t="s">
        <v>8</v>
      </c>
      <c r="K57" s="1"/>
      <c r="L57" s="1">
        <v>2</v>
      </c>
      <c r="M57" s="1" t="s">
        <v>163</v>
      </c>
      <c r="N57" s="5">
        <v>17886</v>
      </c>
      <c r="O57" s="1" t="s">
        <v>104</v>
      </c>
      <c r="P57" s="4">
        <v>45594</v>
      </c>
      <c r="Q57" s="4" t="s">
        <v>7</v>
      </c>
      <c r="R57" s="4">
        <v>45549</v>
      </c>
      <c r="S57" s="1" t="s">
        <v>67</v>
      </c>
      <c r="T57" s="3">
        <v>0</v>
      </c>
      <c r="U57" s="3" t="s">
        <v>29</v>
      </c>
      <c r="V57" s="1" t="s">
        <v>59</v>
      </c>
      <c r="W57" s="1" t="s">
        <v>60</v>
      </c>
      <c r="X57" s="3" t="s">
        <v>32</v>
      </c>
      <c r="Y57">
        <v>14</v>
      </c>
    </row>
    <row r="58" spans="1:25" x14ac:dyDescent="0.3">
      <c r="A58" s="1" t="s">
        <v>164</v>
      </c>
      <c r="B58" s="1" t="s">
        <v>1</v>
      </c>
      <c r="C58" s="1" t="s">
        <v>84</v>
      </c>
      <c r="D58" s="1" t="s">
        <v>50</v>
      </c>
      <c r="E58" s="1" t="s">
        <v>4</v>
      </c>
      <c r="F58" s="1" t="s">
        <v>5</v>
      </c>
      <c r="G58" s="1" t="s">
        <v>69</v>
      </c>
      <c r="H58" s="1" t="s">
        <v>93</v>
      </c>
      <c r="I58" s="1">
        <v>120</v>
      </c>
      <c r="J58" s="1" t="s">
        <v>8</v>
      </c>
      <c r="K58" s="1"/>
      <c r="L58" s="1">
        <v>2</v>
      </c>
      <c r="M58" s="1" t="s">
        <v>165</v>
      </c>
      <c r="N58" s="5">
        <v>10987</v>
      </c>
      <c r="O58" s="1" t="s">
        <v>10</v>
      </c>
      <c r="P58" s="4">
        <v>45594</v>
      </c>
      <c r="Q58" s="4">
        <v>45578</v>
      </c>
      <c r="R58" s="4">
        <v>45549</v>
      </c>
      <c r="S58" s="1" t="s">
        <v>67</v>
      </c>
      <c r="T58" s="3">
        <v>29</v>
      </c>
      <c r="U58" s="3" t="s">
        <v>12</v>
      </c>
      <c r="V58" s="1" t="s">
        <v>63</v>
      </c>
      <c r="W58" s="1" t="s">
        <v>14</v>
      </c>
      <c r="X58" s="3" t="s">
        <v>15</v>
      </c>
      <c r="Y58">
        <v>14</v>
      </c>
    </row>
    <row r="59" spans="1:25" x14ac:dyDescent="0.3">
      <c r="A59" s="1" t="s">
        <v>164</v>
      </c>
      <c r="B59" s="1" t="s">
        <v>1</v>
      </c>
      <c r="C59" s="1" t="s">
        <v>84</v>
      </c>
      <c r="D59" s="1" t="s">
        <v>50</v>
      </c>
      <c r="E59" s="1" t="s">
        <v>4</v>
      </c>
      <c r="F59" s="1" t="s">
        <v>5</v>
      </c>
      <c r="G59" s="1" t="s">
        <v>69</v>
      </c>
      <c r="H59" s="1" t="s">
        <v>93</v>
      </c>
      <c r="I59" s="1">
        <v>120</v>
      </c>
      <c r="J59" s="1" t="s">
        <v>8</v>
      </c>
      <c r="K59" s="1"/>
      <c r="L59" s="1">
        <v>2</v>
      </c>
      <c r="M59" s="1" t="s">
        <v>165</v>
      </c>
      <c r="N59" s="5">
        <v>10987</v>
      </c>
      <c r="O59" s="1" t="s">
        <v>10</v>
      </c>
      <c r="P59" s="4">
        <v>45594</v>
      </c>
      <c r="Q59" s="4">
        <v>45578</v>
      </c>
      <c r="R59" s="4">
        <v>45549</v>
      </c>
      <c r="S59" s="1" t="s">
        <v>67</v>
      </c>
      <c r="T59" s="3">
        <v>29</v>
      </c>
      <c r="U59" s="3" t="s">
        <v>12</v>
      </c>
      <c r="V59" s="1" t="s">
        <v>63</v>
      </c>
      <c r="W59" s="1" t="s">
        <v>14</v>
      </c>
      <c r="X59" s="3" t="s">
        <v>15</v>
      </c>
      <c r="Y59">
        <v>14</v>
      </c>
    </row>
    <row r="60" spans="1:25" x14ac:dyDescent="0.3">
      <c r="A60" s="1" t="s">
        <v>166</v>
      </c>
      <c r="B60" s="1" t="s">
        <v>1</v>
      </c>
      <c r="C60" s="1" t="s">
        <v>167</v>
      </c>
      <c r="D60" s="1" t="s">
        <v>99</v>
      </c>
      <c r="E60" s="1" t="s">
        <v>4</v>
      </c>
      <c r="F60" s="1" t="s">
        <v>73</v>
      </c>
      <c r="G60" s="1" t="s">
        <v>74</v>
      </c>
      <c r="H60" s="1"/>
      <c r="I60" s="1"/>
      <c r="J60" s="1"/>
      <c r="K60" s="1"/>
      <c r="L60" s="1">
        <v>1</v>
      </c>
      <c r="M60" s="1" t="s">
        <v>75</v>
      </c>
      <c r="N60" s="5">
        <v>10319</v>
      </c>
      <c r="O60" s="1" t="s">
        <v>10</v>
      </c>
      <c r="P60" s="4">
        <v>45594</v>
      </c>
      <c r="Q60" s="4">
        <v>45584</v>
      </c>
      <c r="R60" s="4">
        <v>45549</v>
      </c>
      <c r="S60" s="1" t="s">
        <v>67</v>
      </c>
      <c r="T60" s="3">
        <v>4</v>
      </c>
      <c r="U60" s="3" t="s">
        <v>29</v>
      </c>
      <c r="V60" s="1" t="s">
        <v>63</v>
      </c>
      <c r="W60" s="1" t="s">
        <v>14</v>
      </c>
      <c r="X60" s="3" t="s">
        <v>15</v>
      </c>
      <c r="Y60">
        <v>14</v>
      </c>
    </row>
    <row r="61" spans="1:25" x14ac:dyDescent="0.3">
      <c r="A61" s="1" t="s">
        <v>168</v>
      </c>
      <c r="B61" s="1" t="s">
        <v>1</v>
      </c>
      <c r="C61" s="1" t="s">
        <v>169</v>
      </c>
      <c r="D61" s="1" t="s">
        <v>169</v>
      </c>
      <c r="E61" s="1" t="s">
        <v>4</v>
      </c>
      <c r="F61" s="1" t="s">
        <v>5</v>
      </c>
      <c r="G61" s="1" t="s">
        <v>25</v>
      </c>
      <c r="H61" s="1" t="s">
        <v>26</v>
      </c>
      <c r="I61" s="1">
        <v>120</v>
      </c>
      <c r="J61" s="1" t="s">
        <v>41</v>
      </c>
      <c r="K61" s="1"/>
      <c r="L61" s="1">
        <v>1</v>
      </c>
      <c r="M61" s="1" t="s">
        <v>170</v>
      </c>
      <c r="N61" s="5">
        <v>12999</v>
      </c>
      <c r="O61" s="1" t="s">
        <v>104</v>
      </c>
      <c r="P61" s="4">
        <v>45616</v>
      </c>
      <c r="Q61" s="4">
        <v>45582</v>
      </c>
      <c r="R61" s="4">
        <v>45549</v>
      </c>
      <c r="S61" s="1" t="s">
        <v>67</v>
      </c>
      <c r="T61" s="3">
        <v>2</v>
      </c>
      <c r="U61" s="3" t="s">
        <v>29</v>
      </c>
      <c r="V61" s="1" t="s">
        <v>13</v>
      </c>
      <c r="W61" s="1" t="s">
        <v>14</v>
      </c>
      <c r="X61" s="3" t="s">
        <v>15</v>
      </c>
      <c r="Y61">
        <v>7</v>
      </c>
    </row>
    <row r="62" spans="1:25" x14ac:dyDescent="0.3">
      <c r="A62" s="1" t="s">
        <v>171</v>
      </c>
      <c r="B62" s="1" t="s">
        <v>1</v>
      </c>
      <c r="C62" s="1" t="s">
        <v>172</v>
      </c>
      <c r="D62" s="1" t="s">
        <v>35</v>
      </c>
      <c r="E62" s="1" t="s">
        <v>4</v>
      </c>
      <c r="F62" s="1" t="s">
        <v>45</v>
      </c>
      <c r="G62" s="1" t="s">
        <v>46</v>
      </c>
      <c r="H62" s="1"/>
      <c r="I62" s="1"/>
      <c r="J62" s="1" t="s">
        <v>19</v>
      </c>
      <c r="K62" s="1" t="s">
        <v>41</v>
      </c>
      <c r="L62" s="1">
        <v>1</v>
      </c>
      <c r="M62" s="1" t="s">
        <v>146</v>
      </c>
      <c r="N62" s="5">
        <v>21999</v>
      </c>
      <c r="O62" s="1" t="s">
        <v>10</v>
      </c>
      <c r="P62" s="4">
        <v>45616</v>
      </c>
      <c r="Q62" s="4" t="s">
        <v>7</v>
      </c>
      <c r="R62" s="4">
        <v>45549</v>
      </c>
      <c r="S62" s="1" t="s">
        <v>67</v>
      </c>
      <c r="T62" s="3">
        <v>0</v>
      </c>
      <c r="U62" s="3" t="s">
        <v>29</v>
      </c>
      <c r="V62" s="1" t="s">
        <v>59</v>
      </c>
      <c r="W62" s="1" t="s">
        <v>60</v>
      </c>
      <c r="X62" s="3" t="s">
        <v>32</v>
      </c>
      <c r="Y62">
        <v>7</v>
      </c>
    </row>
    <row r="63" spans="1:25" x14ac:dyDescent="0.3">
      <c r="A63" s="1" t="s">
        <v>173</v>
      </c>
      <c r="B63" s="1" t="s">
        <v>1</v>
      </c>
      <c r="C63" s="1" t="s">
        <v>134</v>
      </c>
      <c r="D63" s="1" t="s">
        <v>50</v>
      </c>
      <c r="E63" s="1" t="s">
        <v>4</v>
      </c>
      <c r="F63" s="1" t="s">
        <v>5</v>
      </c>
      <c r="G63" s="1" t="s">
        <v>46</v>
      </c>
      <c r="H63" s="1" t="s">
        <v>40</v>
      </c>
      <c r="I63" s="1">
        <v>100</v>
      </c>
      <c r="J63" s="1" t="s">
        <v>41</v>
      </c>
      <c r="K63" s="1"/>
      <c r="L63" s="1">
        <v>1</v>
      </c>
      <c r="M63" s="1" t="s">
        <v>174</v>
      </c>
      <c r="N63" s="5">
        <v>12399</v>
      </c>
      <c r="O63" s="1" t="s">
        <v>10</v>
      </c>
      <c r="P63" s="4">
        <v>45616</v>
      </c>
      <c r="Q63" s="4">
        <v>45566</v>
      </c>
      <c r="R63" s="4">
        <v>45549</v>
      </c>
      <c r="S63" s="1" t="s">
        <v>67</v>
      </c>
      <c r="T63" s="3">
        <v>17</v>
      </c>
      <c r="U63" s="3" t="s">
        <v>12</v>
      </c>
      <c r="V63" s="1" t="s">
        <v>13</v>
      </c>
      <c r="W63" s="1" t="s">
        <v>14</v>
      </c>
      <c r="X63" s="3" t="s">
        <v>15</v>
      </c>
      <c r="Y63">
        <v>7</v>
      </c>
    </row>
    <row r="64" spans="1:25" x14ac:dyDescent="0.3">
      <c r="A64" s="1" t="s">
        <v>175</v>
      </c>
      <c r="B64" s="1" t="s">
        <v>1</v>
      </c>
      <c r="C64" s="1" t="s">
        <v>84</v>
      </c>
      <c r="D64" s="1" t="s">
        <v>50</v>
      </c>
      <c r="E64" s="1" t="s">
        <v>4</v>
      </c>
      <c r="F64" s="1" t="s">
        <v>45</v>
      </c>
      <c r="G64" s="1" t="s">
        <v>46</v>
      </c>
      <c r="H64" s="1"/>
      <c r="I64" s="1"/>
      <c r="J64" s="1" t="s">
        <v>19</v>
      </c>
      <c r="K64" s="1" t="s">
        <v>41</v>
      </c>
      <c r="L64" s="1">
        <v>1</v>
      </c>
      <c r="M64" s="1" t="s">
        <v>146</v>
      </c>
      <c r="N64" s="5">
        <v>21999</v>
      </c>
      <c r="O64" s="1" t="s">
        <v>10</v>
      </c>
      <c r="P64" s="4">
        <v>45616</v>
      </c>
      <c r="Q64" s="4">
        <v>45574</v>
      </c>
      <c r="R64" s="4">
        <v>45549</v>
      </c>
      <c r="S64" s="1" t="s">
        <v>67</v>
      </c>
      <c r="T64" s="3">
        <v>25</v>
      </c>
      <c r="U64" s="3" t="s">
        <v>12</v>
      </c>
      <c r="V64" s="1" t="s">
        <v>63</v>
      </c>
      <c r="W64" s="1" t="s">
        <v>14</v>
      </c>
      <c r="X64" s="3" t="s">
        <v>15</v>
      </c>
      <c r="Y64">
        <v>7</v>
      </c>
    </row>
    <row r="65" spans="1:25" x14ac:dyDescent="0.3">
      <c r="A65" s="1" t="s">
        <v>176</v>
      </c>
      <c r="B65" s="1" t="s">
        <v>1</v>
      </c>
      <c r="C65" s="1" t="s">
        <v>72</v>
      </c>
      <c r="D65" s="1" t="s">
        <v>50</v>
      </c>
      <c r="E65" s="1" t="s">
        <v>4</v>
      </c>
      <c r="F65" s="1" t="s">
        <v>5</v>
      </c>
      <c r="G65" s="1" t="s">
        <v>46</v>
      </c>
      <c r="H65" s="1" t="s">
        <v>40</v>
      </c>
      <c r="I65" s="1">
        <v>80</v>
      </c>
      <c r="J65" s="1" t="s">
        <v>8</v>
      </c>
      <c r="K65" s="1"/>
      <c r="L65" s="1">
        <v>1</v>
      </c>
      <c r="M65" s="1" t="s">
        <v>177</v>
      </c>
      <c r="N65" s="5">
        <v>10999</v>
      </c>
      <c r="O65" s="1" t="s">
        <v>104</v>
      </c>
      <c r="P65" s="4">
        <v>45616</v>
      </c>
      <c r="Q65" s="4">
        <v>45581</v>
      </c>
      <c r="R65" s="4">
        <v>45549</v>
      </c>
      <c r="S65" s="1" t="s">
        <v>67</v>
      </c>
      <c r="T65" s="3">
        <v>1</v>
      </c>
      <c r="U65" s="3" t="s">
        <v>29</v>
      </c>
      <c r="V65" s="1" t="s">
        <v>63</v>
      </c>
      <c r="W65" s="1" t="s">
        <v>14</v>
      </c>
      <c r="X65" s="3" t="s">
        <v>15</v>
      </c>
      <c r="Y65">
        <v>7</v>
      </c>
    </row>
    <row r="66" spans="1:25" x14ac:dyDescent="0.3">
      <c r="A66" s="1" t="s">
        <v>178</v>
      </c>
      <c r="B66" s="1" t="s">
        <v>1</v>
      </c>
      <c r="C66" s="1" t="s">
        <v>179</v>
      </c>
      <c r="D66" s="1" t="s">
        <v>50</v>
      </c>
      <c r="E66" s="1" t="s">
        <v>4</v>
      </c>
      <c r="F66" s="1" t="s">
        <v>5</v>
      </c>
      <c r="G66" s="1" t="s">
        <v>46</v>
      </c>
      <c r="H66" s="1" t="s">
        <v>26</v>
      </c>
      <c r="I66" s="1">
        <v>80</v>
      </c>
      <c r="J66" s="1" t="s">
        <v>8</v>
      </c>
      <c r="K66" s="1"/>
      <c r="L66" s="1">
        <v>1</v>
      </c>
      <c r="M66" s="1" t="s">
        <v>7</v>
      </c>
      <c r="N66" s="5">
        <v>10999</v>
      </c>
      <c r="O66" s="1" t="s">
        <v>104</v>
      </c>
      <c r="P66" s="4">
        <v>45616</v>
      </c>
      <c r="Q66" s="4">
        <v>45581</v>
      </c>
      <c r="R66" s="4">
        <v>45550</v>
      </c>
      <c r="S66" s="1" t="s">
        <v>67</v>
      </c>
      <c r="T66" s="3">
        <v>31</v>
      </c>
      <c r="U66" s="3" t="s">
        <v>12</v>
      </c>
      <c r="V66" s="1" t="s">
        <v>63</v>
      </c>
      <c r="W66" s="1" t="s">
        <v>14</v>
      </c>
      <c r="X66" s="3" t="s">
        <v>15</v>
      </c>
      <c r="Y66">
        <v>6</v>
      </c>
    </row>
    <row r="67" spans="1:25" x14ac:dyDescent="0.3">
      <c r="A67" s="1" t="s">
        <v>178</v>
      </c>
      <c r="B67" s="1" t="s">
        <v>1</v>
      </c>
      <c r="C67" s="1" t="s">
        <v>179</v>
      </c>
      <c r="D67" s="1" t="s">
        <v>50</v>
      </c>
      <c r="E67" s="1" t="s">
        <v>4</v>
      </c>
      <c r="F67" s="1" t="s">
        <v>5</v>
      </c>
      <c r="G67" s="1" t="s">
        <v>46</v>
      </c>
      <c r="H67" s="1" t="s">
        <v>26</v>
      </c>
      <c r="I67" s="1">
        <v>80</v>
      </c>
      <c r="J67" s="1" t="s">
        <v>8</v>
      </c>
      <c r="K67" s="1"/>
      <c r="L67" s="1">
        <v>1</v>
      </c>
      <c r="M67" s="1" t="s">
        <v>7</v>
      </c>
      <c r="N67" s="5">
        <v>10999</v>
      </c>
      <c r="O67" s="1" t="s">
        <v>104</v>
      </c>
      <c r="P67" s="4">
        <v>45616</v>
      </c>
      <c r="Q67" s="4">
        <v>45581</v>
      </c>
      <c r="R67" s="4">
        <v>45550</v>
      </c>
      <c r="S67" s="1" t="s">
        <v>67</v>
      </c>
      <c r="T67" s="3">
        <v>31</v>
      </c>
      <c r="U67" s="3" t="s">
        <v>12</v>
      </c>
      <c r="V67" s="1" t="s">
        <v>63</v>
      </c>
      <c r="W67" s="1" t="s">
        <v>14</v>
      </c>
      <c r="X67" s="3" t="s">
        <v>15</v>
      </c>
      <c r="Y67">
        <v>6</v>
      </c>
    </row>
    <row r="68" spans="1:25" x14ac:dyDescent="0.3">
      <c r="A68" s="1" t="s">
        <v>180</v>
      </c>
      <c r="B68" s="1" t="s">
        <v>1</v>
      </c>
      <c r="C68" s="1" t="s">
        <v>181</v>
      </c>
      <c r="D68" s="1" t="s">
        <v>99</v>
      </c>
      <c r="E68" s="1" t="s">
        <v>4</v>
      </c>
      <c r="F68" s="1" t="s">
        <v>45</v>
      </c>
      <c r="G68" s="1" t="s">
        <v>46</v>
      </c>
      <c r="H68" s="1"/>
      <c r="I68" s="1"/>
      <c r="J68" s="1" t="s">
        <v>19</v>
      </c>
      <c r="K68" s="1" t="s">
        <v>41</v>
      </c>
      <c r="L68" s="1">
        <v>1</v>
      </c>
      <c r="M68" s="1" t="s">
        <v>7</v>
      </c>
      <c r="N68" s="5">
        <v>21999</v>
      </c>
      <c r="O68" s="1" t="s">
        <v>104</v>
      </c>
      <c r="P68" s="4">
        <v>45616</v>
      </c>
      <c r="Q68" s="4">
        <v>45584</v>
      </c>
      <c r="R68" s="4">
        <v>45550</v>
      </c>
      <c r="S68" s="1" t="s">
        <v>67</v>
      </c>
      <c r="T68" s="3">
        <v>3</v>
      </c>
      <c r="U68" s="3" t="s">
        <v>29</v>
      </c>
      <c r="V68" s="1" t="s">
        <v>63</v>
      </c>
      <c r="W68" s="1" t="s">
        <v>14</v>
      </c>
      <c r="X68" s="3" t="s">
        <v>15</v>
      </c>
      <c r="Y68">
        <v>6</v>
      </c>
    </row>
    <row r="69" spans="1:25" x14ac:dyDescent="0.3">
      <c r="A69" s="1" t="s">
        <v>182</v>
      </c>
      <c r="B69" s="1" t="s">
        <v>1</v>
      </c>
      <c r="C69" s="1" t="s">
        <v>106</v>
      </c>
      <c r="D69" s="1" t="s">
        <v>35</v>
      </c>
      <c r="E69" s="1" t="s">
        <v>4</v>
      </c>
      <c r="F69" s="1" t="s">
        <v>73</v>
      </c>
      <c r="G69" s="1" t="s">
        <v>74</v>
      </c>
      <c r="H69" s="1"/>
      <c r="I69" s="1"/>
      <c r="J69" s="1"/>
      <c r="K69" s="1"/>
      <c r="L69" s="1">
        <v>1</v>
      </c>
      <c r="M69" s="1" t="s">
        <v>7</v>
      </c>
      <c r="N69" s="5">
        <v>7849</v>
      </c>
      <c r="O69" s="1" t="s">
        <v>21</v>
      </c>
      <c r="P69" s="4">
        <v>45595</v>
      </c>
      <c r="Q69" s="4">
        <v>45610</v>
      </c>
      <c r="R69" s="4">
        <v>45551</v>
      </c>
      <c r="S69" s="1" t="s">
        <v>67</v>
      </c>
      <c r="T69" s="3">
        <v>28</v>
      </c>
      <c r="U69" s="3" t="s">
        <v>12</v>
      </c>
      <c r="V69" s="1" t="s">
        <v>13</v>
      </c>
      <c r="W69" s="1" t="s">
        <v>14</v>
      </c>
      <c r="X69" s="3" t="s">
        <v>15</v>
      </c>
      <c r="Y69">
        <v>13</v>
      </c>
    </row>
    <row r="70" spans="1:25" x14ac:dyDescent="0.3">
      <c r="A70" s="1" t="s">
        <v>97</v>
      </c>
      <c r="B70" s="1" t="s">
        <v>44</v>
      </c>
      <c r="C70" s="1" t="s">
        <v>183</v>
      </c>
      <c r="D70" s="1" t="s">
        <v>50</v>
      </c>
      <c r="E70" s="1" t="s">
        <v>78</v>
      </c>
      <c r="F70" s="1" t="s">
        <v>5</v>
      </c>
      <c r="G70" s="1" t="s">
        <v>25</v>
      </c>
      <c r="H70" s="1" t="s">
        <v>26</v>
      </c>
      <c r="I70" s="1">
        <v>80</v>
      </c>
      <c r="J70" s="1" t="s">
        <v>8</v>
      </c>
      <c r="K70" s="1"/>
      <c r="L70" s="1">
        <v>1</v>
      </c>
      <c r="M70" s="1" t="s">
        <v>7</v>
      </c>
      <c r="N70" s="5">
        <v>5074</v>
      </c>
      <c r="O70" s="1" t="s">
        <v>101</v>
      </c>
      <c r="P70" s="4">
        <v>45570</v>
      </c>
      <c r="Q70" s="4">
        <v>45577</v>
      </c>
      <c r="R70" s="4">
        <v>45556</v>
      </c>
      <c r="S70" s="1" t="s">
        <v>67</v>
      </c>
      <c r="T70" s="3">
        <v>21</v>
      </c>
      <c r="U70" s="3" t="s">
        <v>12</v>
      </c>
      <c r="V70" s="1" t="s">
        <v>63</v>
      </c>
      <c r="W70" s="1" t="s">
        <v>14</v>
      </c>
      <c r="X70" s="3" t="s">
        <v>15</v>
      </c>
      <c r="Y70">
        <v>14</v>
      </c>
    </row>
    <row r="71" spans="1:25" x14ac:dyDescent="0.3">
      <c r="A71" s="1" t="s">
        <v>55</v>
      </c>
      <c r="B71" s="1" t="s">
        <v>44</v>
      </c>
      <c r="C71" s="1" t="s">
        <v>56</v>
      </c>
      <c r="D71" s="1" t="s">
        <v>50</v>
      </c>
      <c r="E71" s="1" t="s">
        <v>55</v>
      </c>
      <c r="F71" s="1" t="s">
        <v>5</v>
      </c>
      <c r="G71" s="1" t="s">
        <v>25</v>
      </c>
      <c r="H71" s="1" t="s">
        <v>82</v>
      </c>
      <c r="I71" s="1">
        <v>100</v>
      </c>
      <c r="J71" s="1" t="s">
        <v>184</v>
      </c>
      <c r="K71" s="1"/>
      <c r="L71" s="1">
        <v>1</v>
      </c>
      <c r="M71" s="1" t="s">
        <v>7</v>
      </c>
      <c r="N71" s="5">
        <v>6250</v>
      </c>
      <c r="O71" s="1" t="s">
        <v>101</v>
      </c>
      <c r="P71" s="4">
        <v>45573</v>
      </c>
      <c r="Q71" s="4">
        <v>45582</v>
      </c>
      <c r="R71" s="4">
        <v>45558</v>
      </c>
      <c r="S71" s="1" t="s">
        <v>67</v>
      </c>
      <c r="T71" s="3">
        <v>24</v>
      </c>
      <c r="U71" s="3" t="s">
        <v>12</v>
      </c>
      <c r="V71" s="1" t="s">
        <v>63</v>
      </c>
      <c r="W71" s="1" t="s">
        <v>14</v>
      </c>
      <c r="X71" s="3" t="s">
        <v>15</v>
      </c>
      <c r="Y71">
        <v>15</v>
      </c>
    </row>
    <row r="72" spans="1:25" x14ac:dyDescent="0.3">
      <c r="A72" s="1" t="s">
        <v>55</v>
      </c>
      <c r="B72" s="1" t="s">
        <v>44</v>
      </c>
      <c r="C72" s="1" t="s">
        <v>56</v>
      </c>
      <c r="D72" s="1" t="s">
        <v>50</v>
      </c>
      <c r="E72" s="1" t="s">
        <v>55</v>
      </c>
      <c r="F72" s="1" t="s">
        <v>5</v>
      </c>
      <c r="G72" s="1" t="s">
        <v>25</v>
      </c>
      <c r="H72" s="1" t="s">
        <v>82</v>
      </c>
      <c r="I72" s="1">
        <v>100</v>
      </c>
      <c r="J72" s="1" t="s">
        <v>184</v>
      </c>
      <c r="K72" s="1"/>
      <c r="L72" s="1">
        <v>1</v>
      </c>
      <c r="M72" s="1" t="s">
        <v>7</v>
      </c>
      <c r="N72" s="5">
        <v>6250</v>
      </c>
      <c r="O72" s="1" t="s">
        <v>101</v>
      </c>
      <c r="P72" s="4">
        <v>45573</v>
      </c>
      <c r="Q72" s="4">
        <v>45582</v>
      </c>
      <c r="R72" s="4">
        <v>45558</v>
      </c>
      <c r="S72" s="1" t="s">
        <v>67</v>
      </c>
      <c r="T72" s="3">
        <v>24</v>
      </c>
      <c r="U72" s="3" t="s">
        <v>12</v>
      </c>
      <c r="V72" s="1" t="s">
        <v>63</v>
      </c>
      <c r="W72" s="1" t="s">
        <v>14</v>
      </c>
      <c r="X72" s="3" t="s">
        <v>15</v>
      </c>
      <c r="Y72">
        <v>15</v>
      </c>
    </row>
    <row r="73" spans="1:25" x14ac:dyDescent="0.3">
      <c r="A73" s="1" t="s">
        <v>185</v>
      </c>
      <c r="B73" s="1" t="s">
        <v>1</v>
      </c>
      <c r="C73" s="1" t="s">
        <v>56</v>
      </c>
      <c r="D73" s="1" t="s">
        <v>50</v>
      </c>
      <c r="E73" s="1" t="s">
        <v>4</v>
      </c>
      <c r="F73" s="1" t="s">
        <v>5</v>
      </c>
      <c r="G73" s="1" t="s">
        <v>69</v>
      </c>
      <c r="H73" s="1" t="s">
        <v>85</v>
      </c>
      <c r="I73" s="1">
        <v>120</v>
      </c>
      <c r="J73" s="1" t="s">
        <v>8</v>
      </c>
      <c r="K73" s="1"/>
      <c r="L73" s="1">
        <v>1</v>
      </c>
      <c r="M73" s="1" t="s">
        <v>7</v>
      </c>
      <c r="N73" s="5">
        <v>8943</v>
      </c>
      <c r="O73" s="1" t="s">
        <v>21</v>
      </c>
      <c r="P73" s="4">
        <v>45606</v>
      </c>
      <c r="Q73" s="4">
        <v>45575</v>
      </c>
      <c r="R73" s="4">
        <v>45561</v>
      </c>
      <c r="S73" s="1" t="s">
        <v>67</v>
      </c>
      <c r="T73" s="3">
        <v>14</v>
      </c>
      <c r="U73" s="3" t="s">
        <v>29</v>
      </c>
      <c r="V73" s="1" t="s">
        <v>63</v>
      </c>
      <c r="W73" s="1" t="s">
        <v>14</v>
      </c>
      <c r="X73" s="3" t="s">
        <v>15</v>
      </c>
      <c r="Y73">
        <v>14</v>
      </c>
    </row>
    <row r="74" spans="1:25" x14ac:dyDescent="0.3">
      <c r="A74" s="1" t="s">
        <v>186</v>
      </c>
      <c r="B74" s="1" t="s">
        <v>1</v>
      </c>
      <c r="C74" s="1" t="s">
        <v>187</v>
      </c>
      <c r="D74" s="1" t="s">
        <v>3</v>
      </c>
      <c r="E74" s="1" t="s">
        <v>4</v>
      </c>
      <c r="F74" s="1" t="s">
        <v>73</v>
      </c>
      <c r="G74" s="1" t="s">
        <v>110</v>
      </c>
      <c r="H74" s="1"/>
      <c r="I74" s="1"/>
      <c r="J74" s="1"/>
      <c r="K74" s="1"/>
      <c r="L74" s="1">
        <v>1</v>
      </c>
      <c r="M74" s="1" t="s">
        <v>7</v>
      </c>
      <c r="N74" s="5">
        <v>8349</v>
      </c>
      <c r="O74" s="1" t="s">
        <v>21</v>
      </c>
      <c r="P74" s="4">
        <v>45606</v>
      </c>
      <c r="Q74" s="4" t="s">
        <v>7</v>
      </c>
      <c r="R74" s="4">
        <v>45561</v>
      </c>
      <c r="S74" s="1" t="s">
        <v>67</v>
      </c>
      <c r="T74" s="3">
        <v>0</v>
      </c>
      <c r="U74" s="3" t="s">
        <v>29</v>
      </c>
      <c r="V74" s="1" t="s">
        <v>59</v>
      </c>
      <c r="W74" s="1" t="s">
        <v>60</v>
      </c>
      <c r="X74" s="3" t="s">
        <v>32</v>
      </c>
      <c r="Y74">
        <v>14</v>
      </c>
    </row>
    <row r="75" spans="1:25" x14ac:dyDescent="0.3">
      <c r="A75" s="1" t="s">
        <v>43</v>
      </c>
      <c r="B75" s="1" t="s">
        <v>44</v>
      </c>
      <c r="C75" s="1" t="s">
        <v>188</v>
      </c>
      <c r="D75" s="1" t="s">
        <v>50</v>
      </c>
      <c r="E75" s="1" t="s">
        <v>43</v>
      </c>
      <c r="F75" s="1" t="s">
        <v>45</v>
      </c>
      <c r="G75" s="1" t="s">
        <v>46</v>
      </c>
      <c r="H75" s="1"/>
      <c r="I75" s="1"/>
      <c r="J75" s="1"/>
      <c r="K75" s="1" t="s">
        <v>189</v>
      </c>
      <c r="L75" s="1">
        <v>1</v>
      </c>
      <c r="M75" s="1" t="s">
        <v>7</v>
      </c>
      <c r="N75" s="5">
        <v>14950</v>
      </c>
      <c r="O75" s="1" t="s">
        <v>10</v>
      </c>
      <c r="P75" s="4">
        <v>45579</v>
      </c>
      <c r="Q75" s="4">
        <v>45578</v>
      </c>
      <c r="R75" s="4">
        <v>45561</v>
      </c>
      <c r="S75" s="1" t="s">
        <v>67</v>
      </c>
      <c r="T75" s="3">
        <v>17</v>
      </c>
      <c r="U75" s="3" t="s">
        <v>29</v>
      </c>
      <c r="V75" s="1" t="s">
        <v>63</v>
      </c>
      <c r="W75" s="1" t="s">
        <v>14</v>
      </c>
      <c r="X75" s="3" t="s">
        <v>15</v>
      </c>
      <c r="Y75">
        <v>18</v>
      </c>
    </row>
    <row r="76" spans="1:25" x14ac:dyDescent="0.3">
      <c r="A76" s="1" t="s">
        <v>43</v>
      </c>
      <c r="B76" s="1" t="s">
        <v>44</v>
      </c>
      <c r="C76" s="1"/>
      <c r="D76" s="1" t="s">
        <v>50</v>
      </c>
      <c r="E76" s="1" t="s">
        <v>43</v>
      </c>
      <c r="F76" s="1" t="s">
        <v>5</v>
      </c>
      <c r="G76" s="1" t="s">
        <v>25</v>
      </c>
      <c r="H76" s="1" t="s">
        <v>82</v>
      </c>
      <c r="I76" s="1">
        <v>100</v>
      </c>
      <c r="J76" s="1" t="s">
        <v>190</v>
      </c>
      <c r="K76" s="1"/>
      <c r="L76" s="1">
        <v>1</v>
      </c>
      <c r="M76" s="1" t="s">
        <v>7</v>
      </c>
      <c r="N76" s="5">
        <v>9208</v>
      </c>
      <c r="O76" s="1" t="s">
        <v>21</v>
      </c>
      <c r="P76" s="4">
        <v>45579</v>
      </c>
      <c r="Q76" s="4" t="s">
        <v>7</v>
      </c>
      <c r="R76" s="4">
        <v>45561</v>
      </c>
      <c r="S76" s="1" t="s">
        <v>67</v>
      </c>
      <c r="T76" s="3">
        <v>0</v>
      </c>
      <c r="U76" s="3" t="s">
        <v>29</v>
      </c>
      <c r="V76" s="1" t="s">
        <v>59</v>
      </c>
      <c r="W76" s="1" t="s">
        <v>60</v>
      </c>
      <c r="X76" s="3" t="s">
        <v>32</v>
      </c>
      <c r="Y76">
        <v>18</v>
      </c>
    </row>
    <row r="77" spans="1:25" x14ac:dyDescent="0.3">
      <c r="A77" s="1" t="s">
        <v>43</v>
      </c>
      <c r="B77" s="1" t="s">
        <v>44</v>
      </c>
      <c r="C77" s="1"/>
      <c r="D77" s="1" t="s">
        <v>50</v>
      </c>
      <c r="E77" s="1" t="s">
        <v>43</v>
      </c>
      <c r="F77" s="1" t="s">
        <v>5</v>
      </c>
      <c r="G77" s="1" t="s">
        <v>69</v>
      </c>
      <c r="H77" s="1" t="s">
        <v>93</v>
      </c>
      <c r="I77" s="1">
        <v>120</v>
      </c>
      <c r="J77" s="1" t="s">
        <v>8</v>
      </c>
      <c r="K77" s="1"/>
      <c r="L77" s="1">
        <v>1</v>
      </c>
      <c r="M77" s="1" t="s">
        <v>7</v>
      </c>
      <c r="N77" s="5">
        <v>7433</v>
      </c>
      <c r="O77" s="1" t="s">
        <v>10</v>
      </c>
      <c r="P77" s="4">
        <v>45585</v>
      </c>
      <c r="Q77" s="4">
        <v>45586</v>
      </c>
      <c r="R77" s="4">
        <v>45564</v>
      </c>
      <c r="S77" s="1" t="s">
        <v>67</v>
      </c>
      <c r="T77" s="3">
        <v>22</v>
      </c>
      <c r="U77" s="3" t="s">
        <v>12</v>
      </c>
      <c r="V77" s="1" t="s">
        <v>63</v>
      </c>
      <c r="W77" s="1" t="s">
        <v>14</v>
      </c>
      <c r="X77" s="3" t="s">
        <v>15</v>
      </c>
      <c r="Y77">
        <v>21</v>
      </c>
    </row>
    <row r="78" spans="1:25" x14ac:dyDescent="0.3">
      <c r="A78" s="1" t="s">
        <v>97</v>
      </c>
      <c r="B78" s="1" t="s">
        <v>44</v>
      </c>
      <c r="C78" s="1" t="s">
        <v>183</v>
      </c>
      <c r="D78" s="1" t="s">
        <v>50</v>
      </c>
      <c r="E78" s="1" t="s">
        <v>78</v>
      </c>
      <c r="F78" s="1" t="s">
        <v>5</v>
      </c>
      <c r="G78" s="1" t="s">
        <v>69</v>
      </c>
      <c r="H78" s="1" t="s">
        <v>85</v>
      </c>
      <c r="I78" s="1">
        <v>120</v>
      </c>
      <c r="J78" s="1" t="s">
        <v>8</v>
      </c>
      <c r="K78" s="1"/>
      <c r="L78" s="1">
        <v>1</v>
      </c>
      <c r="M78" s="1" t="s">
        <v>7</v>
      </c>
      <c r="N78" s="5">
        <v>4020</v>
      </c>
      <c r="O78" s="1" t="s">
        <v>101</v>
      </c>
      <c r="P78" s="4">
        <v>45577</v>
      </c>
      <c r="Q78" s="4">
        <v>45577</v>
      </c>
      <c r="R78" s="4">
        <v>45564</v>
      </c>
      <c r="S78" s="1" t="s">
        <v>67</v>
      </c>
      <c r="T78" s="3">
        <v>13</v>
      </c>
      <c r="U78" s="3" t="s">
        <v>29</v>
      </c>
      <c r="V78" s="1" t="s">
        <v>63</v>
      </c>
      <c r="W78" s="1" t="s">
        <v>14</v>
      </c>
      <c r="X78" s="3" t="s">
        <v>15</v>
      </c>
      <c r="Y78">
        <v>13</v>
      </c>
    </row>
    <row r="79" spans="1:25" x14ac:dyDescent="0.3">
      <c r="A79" s="1" t="s">
        <v>191</v>
      </c>
      <c r="B79" s="1" t="s">
        <v>1</v>
      </c>
      <c r="C79" s="1" t="s">
        <v>192</v>
      </c>
      <c r="D79" s="1" t="s">
        <v>192</v>
      </c>
      <c r="E79" s="1" t="s">
        <v>4</v>
      </c>
      <c r="F79" s="1" t="s">
        <v>5</v>
      </c>
      <c r="G79" s="1" t="s">
        <v>25</v>
      </c>
      <c r="H79" s="1" t="s">
        <v>193</v>
      </c>
      <c r="I79" s="1">
        <v>100</v>
      </c>
      <c r="J79" s="1" t="s">
        <v>194</v>
      </c>
      <c r="K79" s="1"/>
      <c r="L79" s="1">
        <v>1</v>
      </c>
      <c r="M79" s="1" t="s">
        <v>7</v>
      </c>
      <c r="N79" s="5">
        <v>8544.9054400000005</v>
      </c>
      <c r="O79" s="1" t="s">
        <v>7</v>
      </c>
      <c r="P79" s="4">
        <v>45574</v>
      </c>
      <c r="Q79" s="4">
        <v>45574</v>
      </c>
      <c r="R79" s="4">
        <v>45566</v>
      </c>
      <c r="S79" s="1" t="s">
        <v>195</v>
      </c>
      <c r="T79" s="3">
        <v>8</v>
      </c>
      <c r="U79" s="3" t="s">
        <v>29</v>
      </c>
      <c r="V79" s="1" t="s">
        <v>196</v>
      </c>
      <c r="W79" s="1" t="s">
        <v>14</v>
      </c>
      <c r="X79" s="3" t="s">
        <v>15</v>
      </c>
      <c r="Y79">
        <v>8</v>
      </c>
    </row>
    <row r="80" spans="1:25" x14ac:dyDescent="0.3">
      <c r="A80" s="1" t="s">
        <v>191</v>
      </c>
      <c r="B80" s="1" t="s">
        <v>1</v>
      </c>
      <c r="C80" s="1" t="s">
        <v>192</v>
      </c>
      <c r="D80" s="1" t="s">
        <v>192</v>
      </c>
      <c r="E80" s="1" t="s">
        <v>4</v>
      </c>
      <c r="F80" s="1" t="s">
        <v>5</v>
      </c>
      <c r="G80" s="1" t="s">
        <v>6</v>
      </c>
      <c r="H80" s="1"/>
      <c r="I80" s="1"/>
      <c r="J80" s="1" t="s">
        <v>197</v>
      </c>
      <c r="K80" s="1" t="s">
        <v>198</v>
      </c>
      <c r="L80" s="1">
        <v>1</v>
      </c>
      <c r="M80" s="1" t="s">
        <v>7</v>
      </c>
      <c r="N80" s="5">
        <v>4600</v>
      </c>
      <c r="O80" s="1" t="s">
        <v>7</v>
      </c>
      <c r="P80" s="4">
        <v>45574</v>
      </c>
      <c r="Q80" s="4">
        <v>45574</v>
      </c>
      <c r="R80" s="4">
        <v>45566</v>
      </c>
      <c r="S80" s="1" t="s">
        <v>195</v>
      </c>
      <c r="T80" s="3">
        <v>8</v>
      </c>
      <c r="U80" s="3" t="s">
        <v>29</v>
      </c>
      <c r="V80" s="1" t="s">
        <v>196</v>
      </c>
      <c r="W80" s="1" t="s">
        <v>14</v>
      </c>
      <c r="X80" s="3" t="s">
        <v>15</v>
      </c>
      <c r="Y80">
        <v>8</v>
      </c>
    </row>
    <row r="81" spans="1:25" x14ac:dyDescent="0.3">
      <c r="A81" s="1" t="s">
        <v>191</v>
      </c>
      <c r="B81" s="1" t="s">
        <v>1</v>
      </c>
      <c r="C81" s="1" t="s">
        <v>192</v>
      </c>
      <c r="D81" s="1" t="s">
        <v>192</v>
      </c>
      <c r="E81" s="1" t="s">
        <v>4</v>
      </c>
      <c r="F81" s="1" t="s">
        <v>45</v>
      </c>
      <c r="G81" s="1" t="s">
        <v>88</v>
      </c>
      <c r="H81" s="1"/>
      <c r="I81" s="1"/>
      <c r="J81" s="1" t="s">
        <v>19</v>
      </c>
      <c r="K81" s="1" t="s">
        <v>199</v>
      </c>
      <c r="L81" s="1">
        <v>1</v>
      </c>
      <c r="M81" s="1" t="s">
        <v>7</v>
      </c>
      <c r="N81" s="5">
        <v>10000</v>
      </c>
      <c r="O81" s="1" t="s">
        <v>7</v>
      </c>
      <c r="P81" s="4">
        <v>45574</v>
      </c>
      <c r="Q81" s="4">
        <v>45574</v>
      </c>
      <c r="R81" s="4">
        <v>45566</v>
      </c>
      <c r="S81" s="1" t="s">
        <v>195</v>
      </c>
      <c r="T81" s="3">
        <v>8</v>
      </c>
      <c r="U81" s="3" t="s">
        <v>29</v>
      </c>
      <c r="V81" s="1" t="s">
        <v>196</v>
      </c>
      <c r="W81" s="1" t="s">
        <v>14</v>
      </c>
      <c r="X81" s="3" t="s">
        <v>15</v>
      </c>
      <c r="Y81">
        <v>8</v>
      </c>
    </row>
    <row r="82" spans="1:25" x14ac:dyDescent="0.3">
      <c r="A82" s="1" t="s">
        <v>191</v>
      </c>
      <c r="B82" s="1" t="s">
        <v>1</v>
      </c>
      <c r="C82" s="1" t="s">
        <v>192</v>
      </c>
      <c r="D82" s="1" t="s">
        <v>192</v>
      </c>
      <c r="E82" s="1" t="s">
        <v>4</v>
      </c>
      <c r="F82" s="1" t="s">
        <v>200</v>
      </c>
      <c r="G82" s="1"/>
      <c r="H82" s="1"/>
      <c r="I82" s="1"/>
      <c r="J82" s="1" t="s">
        <v>19</v>
      </c>
      <c r="K82" s="1" t="s">
        <v>189</v>
      </c>
      <c r="L82" s="1">
        <v>1</v>
      </c>
      <c r="M82" s="1" t="s">
        <v>7</v>
      </c>
      <c r="N82" s="5">
        <v>9764</v>
      </c>
      <c r="O82" s="1" t="s">
        <v>7</v>
      </c>
      <c r="P82" s="4">
        <v>45574</v>
      </c>
      <c r="Q82" s="4">
        <v>45574</v>
      </c>
      <c r="R82" s="4">
        <v>45566</v>
      </c>
      <c r="S82" s="1" t="s">
        <v>195</v>
      </c>
      <c r="T82" s="3">
        <v>8</v>
      </c>
      <c r="U82" s="3" t="s">
        <v>29</v>
      </c>
      <c r="V82" s="1" t="s">
        <v>196</v>
      </c>
      <c r="W82" s="1" t="s">
        <v>14</v>
      </c>
      <c r="X82" s="3" t="s">
        <v>15</v>
      </c>
      <c r="Y82">
        <v>8</v>
      </c>
    </row>
    <row r="83" spans="1:25" x14ac:dyDescent="0.3">
      <c r="A83" s="1" t="s">
        <v>201</v>
      </c>
      <c r="B83" s="1" t="s">
        <v>1</v>
      </c>
      <c r="C83" s="1" t="s">
        <v>202</v>
      </c>
      <c r="D83" s="1" t="s">
        <v>3</v>
      </c>
      <c r="E83" s="1" t="s">
        <v>4</v>
      </c>
      <c r="F83" s="1" t="s">
        <v>5</v>
      </c>
      <c r="G83" s="1" t="s">
        <v>6</v>
      </c>
      <c r="H83" s="1"/>
      <c r="I83" s="1"/>
      <c r="J83" s="1" t="s">
        <v>19</v>
      </c>
      <c r="K83" s="1" t="s">
        <v>19</v>
      </c>
      <c r="L83" s="1">
        <v>1</v>
      </c>
      <c r="M83" s="1" t="s">
        <v>7</v>
      </c>
      <c r="N83" s="5">
        <v>8899</v>
      </c>
      <c r="O83" s="1" t="s">
        <v>21</v>
      </c>
      <c r="P83" s="4">
        <v>45613</v>
      </c>
      <c r="Q83" s="4" t="s">
        <v>7</v>
      </c>
      <c r="R83" s="4">
        <v>45568</v>
      </c>
      <c r="S83" s="1" t="s">
        <v>195</v>
      </c>
      <c r="T83" s="3">
        <v>0</v>
      </c>
      <c r="U83" s="3" t="s">
        <v>29</v>
      </c>
      <c r="V83" s="1" t="s">
        <v>7</v>
      </c>
      <c r="W83" s="1" t="s">
        <v>31</v>
      </c>
      <c r="X83" s="3" t="s">
        <v>32</v>
      </c>
      <c r="Y83">
        <v>14</v>
      </c>
    </row>
    <row r="84" spans="1:25" x14ac:dyDescent="0.3">
      <c r="A84" s="1" t="s">
        <v>43</v>
      </c>
      <c r="B84" s="1" t="s">
        <v>44</v>
      </c>
      <c r="C84" s="1" t="s">
        <v>203</v>
      </c>
      <c r="D84" s="1" t="s">
        <v>3</v>
      </c>
      <c r="E84" s="1" t="s">
        <v>43</v>
      </c>
      <c r="F84" s="1" t="s">
        <v>45</v>
      </c>
      <c r="G84" s="1" t="s">
        <v>46</v>
      </c>
      <c r="H84" s="1"/>
      <c r="I84" s="1"/>
      <c r="J84" s="1" t="s">
        <v>190</v>
      </c>
      <c r="K84" s="1" t="s">
        <v>204</v>
      </c>
      <c r="L84" s="1">
        <v>1</v>
      </c>
      <c r="M84" s="1" t="s">
        <v>7</v>
      </c>
      <c r="N84" s="5">
        <v>14550</v>
      </c>
      <c r="O84" s="1" t="s">
        <v>10</v>
      </c>
      <c r="P84" s="4">
        <v>45594</v>
      </c>
      <c r="Q84" s="4">
        <v>45595</v>
      </c>
      <c r="R84" s="4">
        <v>45573</v>
      </c>
      <c r="S84" s="1" t="s">
        <v>195</v>
      </c>
      <c r="T84" s="3">
        <v>22</v>
      </c>
      <c r="U84" s="3" t="s">
        <v>12</v>
      </c>
      <c r="V84" s="1" t="s">
        <v>63</v>
      </c>
      <c r="W84" s="1" t="s">
        <v>14</v>
      </c>
      <c r="X84" s="3" t="s">
        <v>15</v>
      </c>
      <c r="Y84">
        <v>21</v>
      </c>
    </row>
    <row r="85" spans="1:25" x14ac:dyDescent="0.3">
      <c r="A85" s="1" t="s">
        <v>43</v>
      </c>
      <c r="B85" s="1" t="s">
        <v>44</v>
      </c>
      <c r="C85" s="1" t="s">
        <v>205</v>
      </c>
      <c r="D85" s="1" t="s">
        <v>3</v>
      </c>
      <c r="E85" s="1" t="s">
        <v>43</v>
      </c>
      <c r="F85" s="1" t="s">
        <v>45</v>
      </c>
      <c r="G85" s="1" t="s">
        <v>46</v>
      </c>
      <c r="H85" s="1"/>
      <c r="I85" s="1"/>
      <c r="J85" s="1" t="s">
        <v>190</v>
      </c>
      <c r="K85" s="1" t="s">
        <v>204</v>
      </c>
      <c r="L85" s="1">
        <v>1</v>
      </c>
      <c r="M85" s="1" t="s">
        <v>7</v>
      </c>
      <c r="N85" s="5">
        <v>14550</v>
      </c>
      <c r="O85" s="1" t="s">
        <v>10</v>
      </c>
      <c r="P85" s="4">
        <v>45594</v>
      </c>
      <c r="Q85" s="4">
        <v>45580</v>
      </c>
      <c r="R85" s="4">
        <v>45572</v>
      </c>
      <c r="S85" s="1" t="s">
        <v>195</v>
      </c>
      <c r="T85" s="3">
        <v>8</v>
      </c>
      <c r="U85" s="3" t="s">
        <v>29</v>
      </c>
      <c r="V85" s="1" t="s">
        <v>63</v>
      </c>
      <c r="W85" s="1" t="s">
        <v>14</v>
      </c>
      <c r="X85" s="3" t="s">
        <v>15</v>
      </c>
      <c r="Y85">
        <v>22</v>
      </c>
    </row>
    <row r="86" spans="1:25" x14ac:dyDescent="0.3">
      <c r="A86" s="1" t="s">
        <v>43</v>
      </c>
      <c r="B86" s="1" t="s">
        <v>44</v>
      </c>
      <c r="C86" s="1"/>
      <c r="D86" s="1" t="s">
        <v>3</v>
      </c>
      <c r="E86" s="1" t="s">
        <v>43</v>
      </c>
      <c r="F86" s="1" t="s">
        <v>45</v>
      </c>
      <c r="G86" s="1" t="s">
        <v>46</v>
      </c>
      <c r="H86" s="1"/>
      <c r="I86" s="1"/>
      <c r="J86" s="1" t="s">
        <v>190</v>
      </c>
      <c r="K86" s="1" t="s">
        <v>189</v>
      </c>
      <c r="L86" s="1">
        <v>1</v>
      </c>
      <c r="M86" s="1" t="s">
        <v>7</v>
      </c>
      <c r="N86" s="5">
        <v>14550</v>
      </c>
      <c r="O86" s="1" t="s">
        <v>21</v>
      </c>
      <c r="P86" s="4">
        <v>45596</v>
      </c>
      <c r="Q86" s="4">
        <v>45598</v>
      </c>
      <c r="R86" s="4">
        <v>45575</v>
      </c>
      <c r="S86" s="1" t="s">
        <v>195</v>
      </c>
      <c r="T86" s="3">
        <v>23</v>
      </c>
      <c r="U86" s="3" t="s">
        <v>12</v>
      </c>
      <c r="V86" s="1" t="s">
        <v>63</v>
      </c>
      <c r="W86" s="1" t="s">
        <v>14</v>
      </c>
      <c r="X86" s="3" t="s">
        <v>15</v>
      </c>
      <c r="Y86">
        <v>21</v>
      </c>
    </row>
    <row r="87" spans="1:25" x14ac:dyDescent="0.3">
      <c r="A87" s="1" t="s">
        <v>206</v>
      </c>
      <c r="B87" s="1" t="s">
        <v>1</v>
      </c>
      <c r="C87" s="1" t="s">
        <v>145</v>
      </c>
      <c r="D87" s="1" t="s">
        <v>50</v>
      </c>
      <c r="E87" s="1" t="s">
        <v>4</v>
      </c>
      <c r="F87" s="1" t="s">
        <v>5</v>
      </c>
      <c r="G87" s="1" t="s">
        <v>25</v>
      </c>
      <c r="H87" s="1" t="s">
        <v>207</v>
      </c>
      <c r="I87" s="1" t="s">
        <v>208</v>
      </c>
      <c r="J87" s="1" t="s">
        <v>209</v>
      </c>
      <c r="K87" s="1"/>
      <c r="L87" s="1">
        <v>1</v>
      </c>
      <c r="M87" s="1" t="s">
        <v>7</v>
      </c>
      <c r="N87" s="5">
        <v>12899</v>
      </c>
      <c r="O87" s="1" t="s">
        <v>21</v>
      </c>
      <c r="P87" s="4">
        <v>45643</v>
      </c>
      <c r="Q87" s="4">
        <v>45598</v>
      </c>
      <c r="R87" s="4">
        <v>45578</v>
      </c>
      <c r="S87" s="1" t="s">
        <v>195</v>
      </c>
      <c r="T87" s="3">
        <v>20</v>
      </c>
      <c r="U87" s="3" t="s">
        <v>12</v>
      </c>
      <c r="V87" s="1" t="s">
        <v>63</v>
      </c>
      <c r="W87" s="1" t="s">
        <v>14</v>
      </c>
      <c r="X87" s="3" t="s">
        <v>15</v>
      </c>
      <c r="Y87">
        <v>5</v>
      </c>
    </row>
    <row r="88" spans="1:25" x14ac:dyDescent="0.3">
      <c r="A88" s="1" t="s">
        <v>210</v>
      </c>
      <c r="B88" s="1" t="s">
        <v>1</v>
      </c>
      <c r="C88" s="1" t="s">
        <v>65</v>
      </c>
      <c r="D88" s="1" t="s">
        <v>50</v>
      </c>
      <c r="E88" s="1" t="s">
        <v>4</v>
      </c>
      <c r="F88" s="1" t="s">
        <v>5</v>
      </c>
      <c r="G88" s="1" t="s">
        <v>25</v>
      </c>
      <c r="H88" s="1" t="s">
        <v>26</v>
      </c>
      <c r="I88" s="1">
        <v>80</v>
      </c>
      <c r="J88" s="1" t="s">
        <v>8</v>
      </c>
      <c r="K88" s="1"/>
      <c r="L88" s="1">
        <v>1</v>
      </c>
      <c r="M88" s="1" t="s">
        <v>7</v>
      </c>
      <c r="N88" s="5">
        <v>10499</v>
      </c>
      <c r="O88" s="1" t="s">
        <v>10</v>
      </c>
      <c r="P88" s="4">
        <v>45645</v>
      </c>
      <c r="Q88" s="4">
        <v>45586</v>
      </c>
      <c r="R88" s="4">
        <v>45581</v>
      </c>
      <c r="S88" s="1" t="s">
        <v>195</v>
      </c>
      <c r="T88" s="3">
        <v>5</v>
      </c>
      <c r="U88" s="3" t="s">
        <v>12</v>
      </c>
      <c r="V88" s="1" t="s">
        <v>63</v>
      </c>
      <c r="W88" s="1" t="s">
        <v>14</v>
      </c>
      <c r="X88" s="3" t="s">
        <v>15</v>
      </c>
      <c r="Y88">
        <v>4</v>
      </c>
    </row>
    <row r="89" spans="1:25" x14ac:dyDescent="0.3">
      <c r="A89" s="1" t="s">
        <v>211</v>
      </c>
      <c r="B89" s="1" t="s">
        <v>1</v>
      </c>
      <c r="C89" s="1" t="s">
        <v>212</v>
      </c>
      <c r="D89" s="1" t="s">
        <v>18</v>
      </c>
      <c r="E89" s="1" t="s">
        <v>4</v>
      </c>
      <c r="F89" s="1" t="s">
        <v>5</v>
      </c>
      <c r="G89" s="1" t="s">
        <v>25</v>
      </c>
      <c r="H89" s="1" t="s">
        <v>40</v>
      </c>
      <c r="I89" s="1" t="s">
        <v>213</v>
      </c>
      <c r="J89" s="1" t="s">
        <v>209</v>
      </c>
      <c r="K89" s="1"/>
      <c r="L89" s="1">
        <v>1</v>
      </c>
      <c r="M89" s="1" t="s">
        <v>7</v>
      </c>
      <c r="N89" s="5">
        <v>12899</v>
      </c>
      <c r="O89" s="1" t="s">
        <v>10</v>
      </c>
      <c r="P89" s="4">
        <v>45648</v>
      </c>
      <c r="Q89" s="4">
        <v>45629</v>
      </c>
      <c r="R89" s="4">
        <v>45582</v>
      </c>
      <c r="S89" s="1" t="s">
        <v>195</v>
      </c>
      <c r="T89" s="3">
        <v>16</v>
      </c>
      <c r="U89" s="3" t="s">
        <v>12</v>
      </c>
      <c r="V89" s="1" t="s">
        <v>13</v>
      </c>
      <c r="W89" s="1" t="s">
        <v>14</v>
      </c>
      <c r="X89" s="3" t="s">
        <v>15</v>
      </c>
      <c r="Y89">
        <v>6</v>
      </c>
    </row>
    <row r="90" spans="1:25" x14ac:dyDescent="0.3">
      <c r="A90" s="1" t="s">
        <v>214</v>
      </c>
      <c r="B90" s="1" t="s">
        <v>1</v>
      </c>
      <c r="C90" s="1" t="s">
        <v>215</v>
      </c>
      <c r="D90" s="1" t="s">
        <v>50</v>
      </c>
      <c r="E90" s="1" t="s">
        <v>216</v>
      </c>
      <c r="F90" s="1" t="s">
        <v>5</v>
      </c>
      <c r="G90" s="1" t="s">
        <v>69</v>
      </c>
      <c r="H90" s="1" t="s">
        <v>217</v>
      </c>
      <c r="I90" s="1">
        <v>140</v>
      </c>
      <c r="J90" s="1" t="s">
        <v>189</v>
      </c>
      <c r="K90" s="1" t="s">
        <v>218</v>
      </c>
      <c r="L90" s="1">
        <v>1</v>
      </c>
      <c r="M90" s="1" t="s">
        <v>7</v>
      </c>
      <c r="N90" s="5">
        <v>5135</v>
      </c>
      <c r="O90" s="1" t="s">
        <v>10</v>
      </c>
      <c r="P90" s="4">
        <v>45613</v>
      </c>
      <c r="Q90" s="4">
        <v>45610</v>
      </c>
      <c r="R90" s="4">
        <v>45585</v>
      </c>
      <c r="S90" s="1" t="s">
        <v>195</v>
      </c>
      <c r="T90" s="3">
        <v>25</v>
      </c>
      <c r="U90" s="3" t="s">
        <v>29</v>
      </c>
      <c r="V90" s="1" t="s">
        <v>63</v>
      </c>
      <c r="W90" s="1" t="s">
        <v>14</v>
      </c>
      <c r="X90" s="3" t="s">
        <v>15</v>
      </c>
      <c r="Y90">
        <v>28</v>
      </c>
    </row>
    <row r="91" spans="1:25" x14ac:dyDescent="0.3">
      <c r="A91" s="1" t="s">
        <v>43</v>
      </c>
      <c r="B91" s="1" t="s">
        <v>44</v>
      </c>
      <c r="C91" s="1" t="s">
        <v>187</v>
      </c>
      <c r="D91" s="1" t="s">
        <v>3</v>
      </c>
      <c r="E91" s="1" t="s">
        <v>43</v>
      </c>
      <c r="F91" s="1" t="s">
        <v>5</v>
      </c>
      <c r="G91" s="1" t="s">
        <v>25</v>
      </c>
      <c r="H91" s="1" t="s">
        <v>219</v>
      </c>
      <c r="I91" s="1">
        <v>100</v>
      </c>
      <c r="J91" s="1" t="s">
        <v>220</v>
      </c>
      <c r="K91" s="1"/>
      <c r="L91" s="1">
        <v>1</v>
      </c>
      <c r="M91" s="1" t="s">
        <v>7</v>
      </c>
      <c r="N91" s="5">
        <v>12777.5</v>
      </c>
      <c r="O91" s="1" t="s">
        <v>21</v>
      </c>
      <c r="P91" s="4">
        <v>45608</v>
      </c>
      <c r="Q91" s="4">
        <v>45614</v>
      </c>
      <c r="R91" s="4">
        <v>45587</v>
      </c>
      <c r="S91" s="1" t="s">
        <v>195</v>
      </c>
      <c r="T91" s="3">
        <v>27</v>
      </c>
      <c r="U91" s="3" t="s">
        <v>12</v>
      </c>
      <c r="V91" s="1" t="s">
        <v>63</v>
      </c>
      <c r="W91" s="1" t="s">
        <v>14</v>
      </c>
      <c r="X91" s="3" t="s">
        <v>15</v>
      </c>
      <c r="Y91">
        <v>21</v>
      </c>
    </row>
    <row r="92" spans="1:25" x14ac:dyDescent="0.3">
      <c r="A92" s="1" t="s">
        <v>43</v>
      </c>
      <c r="B92" s="1" t="s">
        <v>44</v>
      </c>
      <c r="C92" s="1" t="s">
        <v>187</v>
      </c>
      <c r="D92" s="1" t="s">
        <v>3</v>
      </c>
      <c r="E92" s="1" t="s">
        <v>43</v>
      </c>
      <c r="F92" s="1" t="s">
        <v>5</v>
      </c>
      <c r="G92" s="1" t="s">
        <v>25</v>
      </c>
      <c r="H92" s="1" t="s">
        <v>219</v>
      </c>
      <c r="I92" s="1">
        <v>100</v>
      </c>
      <c r="J92" s="1" t="s">
        <v>220</v>
      </c>
      <c r="K92" s="1"/>
      <c r="L92" s="1">
        <v>1</v>
      </c>
      <c r="M92" s="1" t="s">
        <v>7</v>
      </c>
      <c r="N92" s="5">
        <v>12777.5</v>
      </c>
      <c r="O92" s="1" t="s">
        <v>21</v>
      </c>
      <c r="P92" s="4">
        <v>45608</v>
      </c>
      <c r="Q92" s="4">
        <v>45614</v>
      </c>
      <c r="R92" s="4">
        <v>45587</v>
      </c>
      <c r="S92" s="1" t="s">
        <v>195</v>
      </c>
      <c r="T92" s="3">
        <v>27</v>
      </c>
      <c r="U92" s="3" t="s">
        <v>12</v>
      </c>
      <c r="V92" s="1" t="s">
        <v>63</v>
      </c>
      <c r="W92" s="1" t="s">
        <v>14</v>
      </c>
      <c r="X92" s="3" t="s">
        <v>15</v>
      </c>
      <c r="Y92">
        <v>21</v>
      </c>
    </row>
    <row r="93" spans="1:25" x14ac:dyDescent="0.3">
      <c r="A93" s="1" t="s">
        <v>97</v>
      </c>
      <c r="B93" s="1" t="s">
        <v>44</v>
      </c>
      <c r="C93" s="1" t="s">
        <v>221</v>
      </c>
      <c r="D93" s="1" t="s">
        <v>50</v>
      </c>
      <c r="E93" s="1" t="s">
        <v>78</v>
      </c>
      <c r="F93" s="1" t="s">
        <v>5</v>
      </c>
      <c r="G93" s="1" t="s">
        <v>25</v>
      </c>
      <c r="H93" s="1" t="s">
        <v>219</v>
      </c>
      <c r="I93" s="1">
        <v>100</v>
      </c>
      <c r="J93" s="1" t="s">
        <v>220</v>
      </c>
      <c r="K93" s="1"/>
      <c r="L93" s="1">
        <v>1</v>
      </c>
      <c r="M93" s="1" t="s">
        <v>7</v>
      </c>
      <c r="N93" s="5">
        <v>8544.91</v>
      </c>
      <c r="O93" s="1" t="s">
        <v>101</v>
      </c>
      <c r="P93" s="4" t="s">
        <v>7</v>
      </c>
      <c r="Q93" s="4" t="s">
        <v>7</v>
      </c>
      <c r="R93" s="4">
        <v>45587</v>
      </c>
      <c r="S93" s="1" t="s">
        <v>195</v>
      </c>
      <c r="T93" s="3">
        <v>0</v>
      </c>
      <c r="U93" s="3" t="s">
        <v>29</v>
      </c>
      <c r="V93" s="1" t="s">
        <v>59</v>
      </c>
      <c r="W93" s="1" t="s">
        <v>60</v>
      </c>
      <c r="X93" s="3" t="s">
        <v>32</v>
      </c>
      <c r="Y93">
        <v>0</v>
      </c>
    </row>
    <row r="94" spans="1:25" x14ac:dyDescent="0.3">
      <c r="A94" s="1" t="s">
        <v>222</v>
      </c>
      <c r="B94" s="1" t="s">
        <v>1</v>
      </c>
      <c r="C94" s="1" t="s">
        <v>223</v>
      </c>
      <c r="D94" s="1" t="s">
        <v>3</v>
      </c>
      <c r="E94" s="1" t="s">
        <v>4</v>
      </c>
      <c r="F94" s="1" t="s">
        <v>5</v>
      </c>
      <c r="G94" s="1" t="s">
        <v>69</v>
      </c>
      <c r="H94" s="1" t="s">
        <v>85</v>
      </c>
      <c r="I94" s="1">
        <v>120</v>
      </c>
      <c r="J94" s="1" t="s">
        <v>8</v>
      </c>
      <c r="K94" s="1"/>
      <c r="L94" s="1">
        <v>1</v>
      </c>
      <c r="M94" s="1" t="s">
        <v>7</v>
      </c>
      <c r="N94" s="5">
        <v>8943</v>
      </c>
      <c r="O94" s="1" t="s">
        <v>21</v>
      </c>
      <c r="P94" s="4">
        <v>45610</v>
      </c>
      <c r="Q94" s="4">
        <v>45614</v>
      </c>
      <c r="R94" s="4">
        <v>45586</v>
      </c>
      <c r="S94" s="1" t="s">
        <v>195</v>
      </c>
      <c r="T94" s="3">
        <v>28</v>
      </c>
      <c r="U94" s="3" t="s">
        <v>12</v>
      </c>
      <c r="V94" s="1" t="s">
        <v>63</v>
      </c>
      <c r="W94" s="1" t="s">
        <v>14</v>
      </c>
      <c r="X94" s="3" t="s">
        <v>15</v>
      </c>
      <c r="Y94">
        <v>0</v>
      </c>
    </row>
    <row r="95" spans="1:25" x14ac:dyDescent="0.3">
      <c r="A95" s="1" t="s">
        <v>43</v>
      </c>
      <c r="B95" s="1" t="s">
        <v>44</v>
      </c>
      <c r="C95" s="1"/>
      <c r="D95" s="1" t="s">
        <v>3</v>
      </c>
      <c r="E95" s="1" t="s">
        <v>43</v>
      </c>
      <c r="F95" s="1" t="s">
        <v>45</v>
      </c>
      <c r="G95" s="1" t="s">
        <v>46</v>
      </c>
      <c r="H95" s="1"/>
      <c r="I95" s="1"/>
      <c r="J95" s="1" t="s">
        <v>19</v>
      </c>
      <c r="K95" s="1"/>
      <c r="L95" s="1">
        <v>1</v>
      </c>
      <c r="M95" s="1" t="s">
        <v>7</v>
      </c>
      <c r="N95" s="5">
        <v>15516</v>
      </c>
      <c r="O95" s="1" t="s">
        <v>10</v>
      </c>
      <c r="P95" s="4">
        <v>45610</v>
      </c>
      <c r="Q95" s="4">
        <v>45595</v>
      </c>
      <c r="R95" s="4">
        <v>45589</v>
      </c>
      <c r="S95" s="1" t="s">
        <v>195</v>
      </c>
      <c r="T95" s="3">
        <v>6</v>
      </c>
      <c r="U95" s="3" t="s">
        <v>12</v>
      </c>
      <c r="V95" s="1" t="s">
        <v>63</v>
      </c>
      <c r="W95" s="1" t="s">
        <v>14</v>
      </c>
      <c r="X95" s="3" t="s">
        <v>15</v>
      </c>
      <c r="Y95">
        <v>0</v>
      </c>
    </row>
    <row r="96" spans="1:25" x14ac:dyDescent="0.3">
      <c r="A96" s="1" t="s">
        <v>43</v>
      </c>
      <c r="B96" s="1" t="s">
        <v>44</v>
      </c>
      <c r="C96" s="1"/>
      <c r="D96" s="1" t="s">
        <v>3</v>
      </c>
      <c r="E96" s="1" t="s">
        <v>43</v>
      </c>
      <c r="F96" s="1" t="s">
        <v>5</v>
      </c>
      <c r="G96" s="1" t="s">
        <v>25</v>
      </c>
      <c r="H96" s="1" t="s">
        <v>82</v>
      </c>
      <c r="I96" s="1">
        <v>100</v>
      </c>
      <c r="J96" s="1" t="s">
        <v>19</v>
      </c>
      <c r="K96" s="1"/>
      <c r="L96" s="1">
        <v>1</v>
      </c>
      <c r="M96" s="1" t="s">
        <v>7</v>
      </c>
      <c r="N96" s="5">
        <v>10045</v>
      </c>
      <c r="O96" s="1" t="s">
        <v>21</v>
      </c>
      <c r="P96" s="4">
        <v>45612</v>
      </c>
      <c r="Q96" s="4" t="s">
        <v>7</v>
      </c>
      <c r="R96" s="4">
        <v>45591</v>
      </c>
      <c r="S96" s="1" t="s">
        <v>195</v>
      </c>
      <c r="T96" s="3">
        <v>0</v>
      </c>
      <c r="U96" s="3" t="s">
        <v>29</v>
      </c>
      <c r="V96" s="1" t="s">
        <v>59</v>
      </c>
      <c r="W96" s="1" t="s">
        <v>60</v>
      </c>
      <c r="X96" s="3" t="s">
        <v>32</v>
      </c>
      <c r="Y96">
        <v>21</v>
      </c>
    </row>
    <row r="97" spans="1:25" x14ac:dyDescent="0.3">
      <c r="A97" s="1" t="s">
        <v>164</v>
      </c>
      <c r="B97" s="1" t="s">
        <v>1</v>
      </c>
      <c r="C97" s="1" t="s">
        <v>224</v>
      </c>
      <c r="D97" s="1" t="s">
        <v>3</v>
      </c>
      <c r="E97" s="1" t="s">
        <v>4</v>
      </c>
      <c r="F97" s="1" t="s">
        <v>5</v>
      </c>
      <c r="G97" s="1" t="s">
        <v>25</v>
      </c>
      <c r="H97" s="1" t="s">
        <v>82</v>
      </c>
      <c r="I97" s="1">
        <v>90</v>
      </c>
      <c r="J97" s="1" t="s">
        <v>19</v>
      </c>
      <c r="K97" s="1"/>
      <c r="L97" s="1">
        <v>1</v>
      </c>
      <c r="M97" s="1" t="s">
        <v>7</v>
      </c>
      <c r="N97" s="5">
        <v>11649</v>
      </c>
      <c r="O97" s="1" t="s">
        <v>21</v>
      </c>
      <c r="P97" s="4">
        <v>45606</v>
      </c>
      <c r="Q97" s="4">
        <v>45614</v>
      </c>
      <c r="R97" s="4">
        <v>45591</v>
      </c>
      <c r="S97" s="1" t="s">
        <v>195</v>
      </c>
      <c r="T97" s="3">
        <v>23</v>
      </c>
      <c r="U97" s="3" t="s">
        <v>12</v>
      </c>
      <c r="V97" s="1" t="s">
        <v>63</v>
      </c>
      <c r="W97" s="1" t="s">
        <v>14</v>
      </c>
      <c r="X97" s="3" t="s">
        <v>15</v>
      </c>
      <c r="Y97">
        <v>15</v>
      </c>
    </row>
    <row r="98" spans="1:25" x14ac:dyDescent="0.3">
      <c r="A98" s="1" t="s">
        <v>164</v>
      </c>
      <c r="B98" s="1" t="s">
        <v>1</v>
      </c>
      <c r="C98" s="1" t="s">
        <v>224</v>
      </c>
      <c r="D98" s="1" t="s">
        <v>3</v>
      </c>
      <c r="E98" s="1" t="s">
        <v>4</v>
      </c>
      <c r="F98" s="1" t="s">
        <v>5</v>
      </c>
      <c r="G98" s="1" t="s">
        <v>25</v>
      </c>
      <c r="H98" s="1" t="s">
        <v>82</v>
      </c>
      <c r="I98" s="1">
        <v>90</v>
      </c>
      <c r="J98" s="1" t="s">
        <v>19</v>
      </c>
      <c r="K98" s="1"/>
      <c r="L98" s="1">
        <v>1</v>
      </c>
      <c r="M98" s="1" t="s">
        <v>7</v>
      </c>
      <c r="N98" s="5">
        <v>11649</v>
      </c>
      <c r="O98" s="1" t="s">
        <v>21</v>
      </c>
      <c r="P98" s="4">
        <v>45606</v>
      </c>
      <c r="Q98" s="4">
        <v>45614</v>
      </c>
      <c r="R98" s="4">
        <v>45591</v>
      </c>
      <c r="S98" s="1" t="s">
        <v>195</v>
      </c>
      <c r="T98" s="3">
        <v>23</v>
      </c>
      <c r="U98" s="3" t="s">
        <v>12</v>
      </c>
      <c r="V98" s="1" t="s">
        <v>63</v>
      </c>
      <c r="W98" s="1" t="s">
        <v>14</v>
      </c>
      <c r="X98" s="3" t="s">
        <v>15</v>
      </c>
      <c r="Y98">
        <v>15</v>
      </c>
    </row>
    <row r="99" spans="1:25" x14ac:dyDescent="0.3">
      <c r="A99" s="1" t="s">
        <v>225</v>
      </c>
      <c r="B99" s="1" t="s">
        <v>1</v>
      </c>
      <c r="C99" s="1" t="s">
        <v>91</v>
      </c>
      <c r="D99" s="1" t="s">
        <v>50</v>
      </c>
      <c r="E99" s="1" t="s">
        <v>4</v>
      </c>
      <c r="F99" s="1" t="s">
        <v>5</v>
      </c>
      <c r="G99" s="1" t="s">
        <v>69</v>
      </c>
      <c r="H99" s="1" t="s">
        <v>93</v>
      </c>
      <c r="I99" s="1">
        <v>100</v>
      </c>
      <c r="J99" s="1" t="s">
        <v>8</v>
      </c>
      <c r="K99" s="1"/>
      <c r="L99" s="1">
        <v>1</v>
      </c>
      <c r="M99" s="1" t="s">
        <v>7</v>
      </c>
      <c r="N99" s="5">
        <v>5100</v>
      </c>
      <c r="O99" s="1" t="s">
        <v>21</v>
      </c>
      <c r="P99" s="4">
        <v>45607</v>
      </c>
      <c r="Q99" s="4">
        <v>45617</v>
      </c>
      <c r="R99" s="4">
        <v>45593</v>
      </c>
      <c r="S99" s="1" t="s">
        <v>195</v>
      </c>
      <c r="T99" s="3">
        <v>24</v>
      </c>
      <c r="U99" s="3" t="s">
        <v>12</v>
      </c>
      <c r="V99" s="1" t="s">
        <v>63</v>
      </c>
      <c r="W99" s="1" t="s">
        <v>14</v>
      </c>
      <c r="X99" s="3" t="s">
        <v>15</v>
      </c>
      <c r="Y99">
        <v>14</v>
      </c>
    </row>
    <row r="100" spans="1:25" x14ac:dyDescent="0.3">
      <c r="A100" s="1" t="s">
        <v>225</v>
      </c>
      <c r="B100" s="1" t="s">
        <v>1</v>
      </c>
      <c r="C100" s="1" t="s">
        <v>91</v>
      </c>
      <c r="D100" s="1" t="s">
        <v>50</v>
      </c>
      <c r="E100" s="1" t="s">
        <v>4</v>
      </c>
      <c r="F100" s="1" t="s">
        <v>5</v>
      </c>
      <c r="G100" s="1" t="s">
        <v>69</v>
      </c>
      <c r="H100" s="1" t="s">
        <v>93</v>
      </c>
      <c r="I100" s="1">
        <v>120</v>
      </c>
      <c r="J100" s="1" t="s">
        <v>8</v>
      </c>
      <c r="K100" s="1"/>
      <c r="L100" s="1">
        <v>1</v>
      </c>
      <c r="M100" s="1" t="s">
        <v>7</v>
      </c>
      <c r="N100" s="5">
        <v>5300</v>
      </c>
      <c r="O100" s="1" t="s">
        <v>21</v>
      </c>
      <c r="P100" s="4">
        <v>45607</v>
      </c>
      <c r="Q100" s="4">
        <v>45617</v>
      </c>
      <c r="R100" s="4">
        <v>45593</v>
      </c>
      <c r="S100" s="1" t="s">
        <v>195</v>
      </c>
      <c r="T100" s="3">
        <v>24</v>
      </c>
      <c r="U100" s="3" t="s">
        <v>12</v>
      </c>
      <c r="V100" s="1" t="s">
        <v>63</v>
      </c>
      <c r="W100" s="1" t="s">
        <v>14</v>
      </c>
      <c r="X100" s="3" t="s">
        <v>15</v>
      </c>
      <c r="Y100">
        <v>14</v>
      </c>
    </row>
    <row r="101" spans="1:25" x14ac:dyDescent="0.3">
      <c r="A101" s="1" t="s">
        <v>226</v>
      </c>
      <c r="B101" s="1" t="s">
        <v>1</v>
      </c>
      <c r="C101" s="1" t="s">
        <v>227</v>
      </c>
      <c r="D101" s="1" t="s">
        <v>50</v>
      </c>
      <c r="E101" s="1" t="s">
        <v>4</v>
      </c>
      <c r="F101" s="1" t="s">
        <v>5</v>
      </c>
      <c r="G101" s="1" t="s">
        <v>25</v>
      </c>
      <c r="H101" s="1" t="s">
        <v>26</v>
      </c>
      <c r="I101" s="1">
        <v>80</v>
      </c>
      <c r="J101" s="1" t="s">
        <v>8</v>
      </c>
      <c r="K101" s="1"/>
      <c r="L101" s="1">
        <v>1</v>
      </c>
      <c r="M101" s="1" t="s">
        <v>7</v>
      </c>
      <c r="N101" s="5">
        <v>12099</v>
      </c>
      <c r="O101" s="1" t="s">
        <v>10</v>
      </c>
      <c r="P101" s="4">
        <v>45622</v>
      </c>
      <c r="Q101" s="4">
        <v>45623</v>
      </c>
      <c r="R101" s="4">
        <v>45607</v>
      </c>
      <c r="S101" s="1" t="s">
        <v>228</v>
      </c>
      <c r="T101" s="3">
        <v>16</v>
      </c>
      <c r="U101" s="3" t="s">
        <v>12</v>
      </c>
      <c r="V101" s="1" t="s">
        <v>63</v>
      </c>
      <c r="W101" s="1" t="s">
        <v>14</v>
      </c>
      <c r="X101" s="3" t="s">
        <v>15</v>
      </c>
      <c r="Y101">
        <v>15</v>
      </c>
    </row>
    <row r="102" spans="1:25" x14ac:dyDescent="0.3">
      <c r="A102" s="1" t="s">
        <v>43</v>
      </c>
      <c r="B102" s="1" t="s">
        <v>44</v>
      </c>
      <c r="C102" s="1" t="s">
        <v>203</v>
      </c>
      <c r="D102" s="1" t="s">
        <v>50</v>
      </c>
      <c r="E102" s="1" t="s">
        <v>43</v>
      </c>
      <c r="F102" s="1" t="s">
        <v>45</v>
      </c>
      <c r="G102" s="1" t="s">
        <v>46</v>
      </c>
      <c r="H102" s="1" t="s">
        <v>229</v>
      </c>
      <c r="I102" s="1"/>
      <c r="J102" s="1" t="s">
        <v>190</v>
      </c>
      <c r="K102" s="1" t="s">
        <v>230</v>
      </c>
      <c r="L102" s="1">
        <v>1</v>
      </c>
      <c r="M102" s="1" t="s">
        <v>7</v>
      </c>
      <c r="N102" s="5">
        <v>15872</v>
      </c>
      <c r="O102" s="1" t="s">
        <v>10</v>
      </c>
      <c r="P102" s="4">
        <v>45363</v>
      </c>
      <c r="Q102" s="4">
        <v>45610</v>
      </c>
      <c r="R102" s="4">
        <v>45604</v>
      </c>
      <c r="S102" s="1" t="s">
        <v>228</v>
      </c>
      <c r="T102" s="3">
        <v>6</v>
      </c>
      <c r="U102" s="3" t="s">
        <v>12</v>
      </c>
      <c r="V102" s="1" t="s">
        <v>63</v>
      </c>
      <c r="W102" s="1" t="s">
        <v>14</v>
      </c>
      <c r="X102" s="3" t="s">
        <v>15</v>
      </c>
      <c r="Y102">
        <v>0</v>
      </c>
    </row>
    <row r="103" spans="1:25" x14ac:dyDescent="0.3">
      <c r="A103" s="1" t="s">
        <v>231</v>
      </c>
      <c r="B103" s="1" t="s">
        <v>1</v>
      </c>
      <c r="C103" s="1" t="s">
        <v>49</v>
      </c>
      <c r="D103" s="1" t="s">
        <v>50</v>
      </c>
      <c r="E103" s="1" t="s">
        <v>216</v>
      </c>
      <c r="F103" s="1" t="s">
        <v>5</v>
      </c>
      <c r="G103" s="1" t="s">
        <v>69</v>
      </c>
      <c r="H103" s="1" t="s">
        <v>85</v>
      </c>
      <c r="I103" s="1">
        <v>120</v>
      </c>
      <c r="J103" s="1" t="s">
        <v>8</v>
      </c>
      <c r="K103" s="1"/>
      <c r="L103" s="1">
        <v>1</v>
      </c>
      <c r="M103" s="1" t="s">
        <v>7</v>
      </c>
      <c r="N103" s="5">
        <v>4520</v>
      </c>
      <c r="O103" s="1" t="s">
        <v>101</v>
      </c>
      <c r="P103" s="4">
        <v>45618</v>
      </c>
      <c r="Q103" s="4">
        <v>45617</v>
      </c>
      <c r="R103" s="4">
        <v>45606</v>
      </c>
      <c r="S103" s="1" t="s">
        <v>228</v>
      </c>
      <c r="T103" s="3">
        <v>11</v>
      </c>
      <c r="U103" s="3" t="s">
        <v>12</v>
      </c>
      <c r="V103" s="1" t="s">
        <v>63</v>
      </c>
      <c r="W103" s="1" t="s">
        <v>14</v>
      </c>
      <c r="X103" s="3" t="s">
        <v>15</v>
      </c>
      <c r="Y103">
        <v>0</v>
      </c>
    </row>
    <row r="104" spans="1:25" x14ac:dyDescent="0.3">
      <c r="A104" s="1" t="s">
        <v>97</v>
      </c>
      <c r="B104" s="1" t="s">
        <v>44</v>
      </c>
      <c r="C104" s="1" t="s">
        <v>183</v>
      </c>
      <c r="D104" s="1" t="s">
        <v>50</v>
      </c>
      <c r="E104" s="1" t="s">
        <v>78</v>
      </c>
      <c r="F104" s="1" t="s">
        <v>5</v>
      </c>
      <c r="G104" s="1" t="s">
        <v>25</v>
      </c>
      <c r="H104" s="1" t="s">
        <v>82</v>
      </c>
      <c r="I104" s="1">
        <v>90</v>
      </c>
      <c r="J104" s="1" t="s">
        <v>19</v>
      </c>
      <c r="K104" s="1"/>
      <c r="L104" s="1">
        <v>1</v>
      </c>
      <c r="M104" s="1" t="s">
        <v>7</v>
      </c>
      <c r="N104" s="5">
        <v>5766</v>
      </c>
      <c r="O104" s="1" t="s">
        <v>101</v>
      </c>
      <c r="P104" s="4">
        <v>45622</v>
      </c>
      <c r="Q104" s="4">
        <v>45621</v>
      </c>
      <c r="R104" s="4">
        <v>45608</v>
      </c>
      <c r="S104" s="1" t="s">
        <v>228</v>
      </c>
      <c r="T104" s="3">
        <v>13</v>
      </c>
      <c r="U104" s="3" t="s">
        <v>12</v>
      </c>
      <c r="V104" s="1" t="s">
        <v>63</v>
      </c>
      <c r="W104" s="1" t="s">
        <v>14</v>
      </c>
      <c r="X104" s="3" t="s">
        <v>15</v>
      </c>
      <c r="Y104">
        <v>0</v>
      </c>
    </row>
    <row r="105" spans="1:25" x14ac:dyDescent="0.3">
      <c r="A105" s="1" t="s">
        <v>232</v>
      </c>
      <c r="B105" s="1" t="s">
        <v>1</v>
      </c>
      <c r="C105" s="1" t="s">
        <v>91</v>
      </c>
      <c r="D105" s="1" t="s">
        <v>50</v>
      </c>
      <c r="E105" s="1" t="s">
        <v>4</v>
      </c>
      <c r="F105" s="1" t="s">
        <v>5</v>
      </c>
      <c r="G105" s="1" t="s">
        <v>69</v>
      </c>
      <c r="H105" s="1" t="s">
        <v>85</v>
      </c>
      <c r="I105" s="1">
        <v>160</v>
      </c>
      <c r="J105" s="1" t="s">
        <v>142</v>
      </c>
      <c r="K105" s="1"/>
      <c r="L105" s="1">
        <v>1</v>
      </c>
      <c r="M105" s="1" t="s">
        <v>7</v>
      </c>
      <c r="N105" s="5">
        <v>11395</v>
      </c>
      <c r="O105" s="1" t="s">
        <v>10</v>
      </c>
      <c r="P105" s="4">
        <v>45620</v>
      </c>
      <c r="Q105" s="4">
        <v>45623</v>
      </c>
      <c r="R105" s="4">
        <v>45608</v>
      </c>
      <c r="S105" s="1" t="s">
        <v>228</v>
      </c>
      <c r="T105" s="3">
        <v>15</v>
      </c>
      <c r="U105" s="3" t="s">
        <v>12</v>
      </c>
      <c r="V105" s="1" t="s">
        <v>63</v>
      </c>
      <c r="W105" s="1" t="s">
        <v>14</v>
      </c>
      <c r="X105" s="3" t="s">
        <v>15</v>
      </c>
      <c r="Y105">
        <v>12</v>
      </c>
    </row>
    <row r="106" spans="1:25" x14ac:dyDescent="0.3">
      <c r="A106" s="1" t="s">
        <v>233</v>
      </c>
      <c r="B106" s="1" t="s">
        <v>1</v>
      </c>
      <c r="C106" s="1" t="s">
        <v>49</v>
      </c>
      <c r="D106" s="1" t="s">
        <v>50</v>
      </c>
      <c r="E106" s="1" t="s">
        <v>4</v>
      </c>
      <c r="F106" s="1" t="s">
        <v>5</v>
      </c>
      <c r="G106" s="1" t="s">
        <v>25</v>
      </c>
      <c r="H106" s="1" t="s">
        <v>234</v>
      </c>
      <c r="I106" s="1">
        <v>80</v>
      </c>
      <c r="J106" s="1" t="s">
        <v>8</v>
      </c>
      <c r="K106" s="1"/>
      <c r="L106" s="1">
        <v>1</v>
      </c>
      <c r="M106" s="1" t="s">
        <v>7</v>
      </c>
      <c r="N106" s="5">
        <v>12919</v>
      </c>
      <c r="O106" s="1" t="s">
        <v>10</v>
      </c>
      <c r="P106" s="4">
        <v>45626</v>
      </c>
      <c r="Q106" s="4">
        <v>45623</v>
      </c>
      <c r="R106" s="4">
        <v>45610</v>
      </c>
      <c r="S106" s="1" t="s">
        <v>228</v>
      </c>
      <c r="T106" s="3">
        <v>13</v>
      </c>
      <c r="U106" s="3" t="s">
        <v>29</v>
      </c>
      <c r="V106" s="1" t="s">
        <v>63</v>
      </c>
      <c r="W106" s="1" t="s">
        <v>14</v>
      </c>
      <c r="X106" s="3" t="s">
        <v>15</v>
      </c>
      <c r="Y106">
        <v>16</v>
      </c>
    </row>
    <row r="107" spans="1:25" x14ac:dyDescent="0.3">
      <c r="A107" s="1" t="s">
        <v>97</v>
      </c>
      <c r="B107" s="1" t="s">
        <v>44</v>
      </c>
      <c r="C107" s="1" t="s">
        <v>183</v>
      </c>
      <c r="D107" s="1" t="s">
        <v>50</v>
      </c>
      <c r="E107" s="1" t="s">
        <v>78</v>
      </c>
      <c r="F107" s="1" t="s">
        <v>5</v>
      </c>
      <c r="G107" s="1" t="s">
        <v>25</v>
      </c>
      <c r="H107" s="1" t="s">
        <v>40</v>
      </c>
      <c r="I107" s="1">
        <v>120</v>
      </c>
      <c r="J107" s="1" t="s">
        <v>41</v>
      </c>
      <c r="K107" s="1"/>
      <c r="L107" s="1">
        <v>1</v>
      </c>
      <c r="M107" s="1" t="s">
        <v>7</v>
      </c>
      <c r="N107" s="5">
        <v>6376</v>
      </c>
      <c r="O107" s="1" t="s">
        <v>101</v>
      </c>
      <c r="P107" s="4">
        <v>45623</v>
      </c>
      <c r="Q107" s="4">
        <v>45621</v>
      </c>
      <c r="R107" s="4">
        <v>45610</v>
      </c>
      <c r="S107" s="1" t="s">
        <v>228</v>
      </c>
      <c r="T107" s="3">
        <v>11</v>
      </c>
      <c r="U107" s="3" t="s">
        <v>29</v>
      </c>
      <c r="V107" s="1" t="s">
        <v>63</v>
      </c>
      <c r="W107" s="1" t="s">
        <v>14</v>
      </c>
      <c r="X107" s="3" t="s">
        <v>15</v>
      </c>
      <c r="Y107">
        <v>13</v>
      </c>
    </row>
    <row r="108" spans="1:25" x14ac:dyDescent="0.3">
      <c r="A108" s="1" t="s">
        <v>97</v>
      </c>
      <c r="B108" s="1" t="s">
        <v>44</v>
      </c>
      <c r="C108" s="1" t="s">
        <v>235</v>
      </c>
      <c r="D108" s="1" t="s">
        <v>50</v>
      </c>
      <c r="E108" s="1" t="s">
        <v>78</v>
      </c>
      <c r="F108" s="1" t="s">
        <v>5</v>
      </c>
      <c r="G108" s="1" t="s">
        <v>236</v>
      </c>
      <c r="H108" s="1" t="s">
        <v>40</v>
      </c>
      <c r="I108" s="1">
        <v>90</v>
      </c>
      <c r="J108" s="1" t="s">
        <v>19</v>
      </c>
      <c r="K108" s="1"/>
      <c r="L108" s="1">
        <v>1</v>
      </c>
      <c r="M108" s="1" t="s">
        <v>7</v>
      </c>
      <c r="N108" s="5">
        <v>5294</v>
      </c>
      <c r="O108" s="1" t="s">
        <v>101</v>
      </c>
      <c r="P108" s="4">
        <v>45623</v>
      </c>
      <c r="Q108" s="4">
        <v>45621</v>
      </c>
      <c r="R108" s="4">
        <v>45610</v>
      </c>
      <c r="S108" s="1" t="s">
        <v>228</v>
      </c>
      <c r="T108" s="3">
        <v>11</v>
      </c>
      <c r="U108" s="3" t="s">
        <v>29</v>
      </c>
      <c r="V108" s="1" t="s">
        <v>63</v>
      </c>
      <c r="W108" s="1" t="s">
        <v>14</v>
      </c>
      <c r="X108" s="3" t="s">
        <v>15</v>
      </c>
      <c r="Y108">
        <v>13</v>
      </c>
    </row>
    <row r="109" spans="1:25" x14ac:dyDescent="0.3">
      <c r="A109" s="1" t="s">
        <v>237</v>
      </c>
      <c r="B109" s="1" t="s">
        <v>1</v>
      </c>
      <c r="C109" s="1" t="s">
        <v>53</v>
      </c>
      <c r="D109" s="1" t="s">
        <v>238</v>
      </c>
      <c r="E109" s="1" t="s">
        <v>239</v>
      </c>
      <c r="F109" s="1" t="s">
        <v>5</v>
      </c>
      <c r="G109" s="1" t="s">
        <v>236</v>
      </c>
      <c r="H109" s="1" t="s">
        <v>240</v>
      </c>
      <c r="I109" s="1">
        <v>80</v>
      </c>
      <c r="J109" s="1" t="s">
        <v>8</v>
      </c>
      <c r="K109" s="1"/>
      <c r="L109" s="1">
        <v>1</v>
      </c>
      <c r="M109" s="1" t="s">
        <v>7</v>
      </c>
      <c r="N109" s="5">
        <v>7396</v>
      </c>
      <c r="O109" s="1" t="s">
        <v>10</v>
      </c>
      <c r="P109" s="4">
        <v>45624</v>
      </c>
      <c r="Q109" s="4">
        <v>45622</v>
      </c>
      <c r="R109" s="4">
        <v>45613</v>
      </c>
      <c r="S109" s="1" t="s">
        <v>228</v>
      </c>
      <c r="T109" s="3">
        <v>9</v>
      </c>
      <c r="U109" s="3" t="s">
        <v>29</v>
      </c>
      <c r="V109" s="1" t="s">
        <v>63</v>
      </c>
      <c r="W109" s="1" t="s">
        <v>14</v>
      </c>
      <c r="X109" s="3" t="s">
        <v>15</v>
      </c>
      <c r="Y109">
        <v>11</v>
      </c>
    </row>
    <row r="110" spans="1:25" x14ac:dyDescent="0.3">
      <c r="A110" s="1" t="s">
        <v>164</v>
      </c>
      <c r="B110" s="1" t="s">
        <v>1</v>
      </c>
      <c r="C110" s="1" t="s">
        <v>241</v>
      </c>
      <c r="D110" s="1" t="s">
        <v>238</v>
      </c>
      <c r="E110" s="1" t="s">
        <v>4</v>
      </c>
      <c r="F110" s="1" t="s">
        <v>5</v>
      </c>
      <c r="G110" s="1" t="s">
        <v>25</v>
      </c>
      <c r="H110" s="1" t="s">
        <v>82</v>
      </c>
      <c r="I110" s="1">
        <v>90</v>
      </c>
      <c r="J110" s="1" t="s">
        <v>19</v>
      </c>
      <c r="K110" s="1"/>
      <c r="L110" s="1">
        <v>1</v>
      </c>
      <c r="M110" s="1" t="s">
        <v>7</v>
      </c>
      <c r="N110" s="5">
        <v>13439</v>
      </c>
      <c r="O110" s="1" t="s">
        <v>21</v>
      </c>
      <c r="P110" s="4">
        <v>45631</v>
      </c>
      <c r="Q110" s="4">
        <v>45622</v>
      </c>
      <c r="R110" s="4">
        <v>45616</v>
      </c>
      <c r="S110" s="1" t="s">
        <v>228</v>
      </c>
      <c r="T110" s="3">
        <v>6</v>
      </c>
      <c r="U110" s="3" t="s">
        <v>29</v>
      </c>
      <c r="V110" s="1" t="s">
        <v>63</v>
      </c>
      <c r="W110" s="1" t="s">
        <v>14</v>
      </c>
      <c r="X110" s="3" t="s">
        <v>15</v>
      </c>
      <c r="Y110">
        <v>15</v>
      </c>
    </row>
    <row r="111" spans="1:25" x14ac:dyDescent="0.3">
      <c r="A111" s="1" t="s">
        <v>55</v>
      </c>
      <c r="B111" s="1" t="s">
        <v>44</v>
      </c>
      <c r="C111" s="1" t="s">
        <v>61</v>
      </c>
      <c r="D111" s="1" t="s">
        <v>50</v>
      </c>
      <c r="E111" s="1" t="s">
        <v>55</v>
      </c>
      <c r="F111" s="1" t="s">
        <v>5</v>
      </c>
      <c r="G111" s="1" t="s">
        <v>242</v>
      </c>
      <c r="H111" s="1" t="s">
        <v>243</v>
      </c>
      <c r="I111" s="1">
        <v>160</v>
      </c>
      <c r="J111" s="1" t="s">
        <v>19</v>
      </c>
      <c r="K111" s="1"/>
      <c r="L111" s="1">
        <v>1</v>
      </c>
      <c r="M111" s="1" t="s">
        <v>7</v>
      </c>
      <c r="N111" s="5">
        <v>5100</v>
      </c>
      <c r="O111" s="1" t="s">
        <v>101</v>
      </c>
      <c r="P111" s="4">
        <v>45634</v>
      </c>
      <c r="Q111" s="4" t="s">
        <v>7</v>
      </c>
      <c r="R111" s="4">
        <v>45610</v>
      </c>
      <c r="S111" s="1" t="s">
        <v>228</v>
      </c>
      <c r="T111" s="3">
        <v>0</v>
      </c>
      <c r="U111" s="3" t="s">
        <v>29</v>
      </c>
      <c r="V111" s="1" t="s">
        <v>7</v>
      </c>
      <c r="W111" s="1" t="s">
        <v>31</v>
      </c>
      <c r="X111" s="3" t="s">
        <v>32</v>
      </c>
      <c r="Y111">
        <v>24</v>
      </c>
    </row>
    <row r="112" spans="1:25" x14ac:dyDescent="0.3">
      <c r="A112" s="1" t="s">
        <v>244</v>
      </c>
      <c r="B112" s="1" t="s">
        <v>1</v>
      </c>
      <c r="C112" s="1" t="s">
        <v>65</v>
      </c>
      <c r="D112" s="1" t="s">
        <v>50</v>
      </c>
      <c r="E112" s="1" t="s">
        <v>51</v>
      </c>
      <c r="F112" s="1" t="s">
        <v>5</v>
      </c>
      <c r="G112" s="1" t="s">
        <v>69</v>
      </c>
      <c r="H112" s="1" t="s">
        <v>245</v>
      </c>
      <c r="I112" s="1">
        <v>160</v>
      </c>
      <c r="J112" s="1" t="s">
        <v>124</v>
      </c>
      <c r="K112" s="1" t="s">
        <v>8</v>
      </c>
      <c r="L112" s="1">
        <v>1</v>
      </c>
      <c r="M112" s="1" t="s">
        <v>7</v>
      </c>
      <c r="N112" s="5">
        <v>6000</v>
      </c>
      <c r="O112" s="1" t="s">
        <v>21</v>
      </c>
      <c r="P112" s="4">
        <v>45628</v>
      </c>
      <c r="Q112" s="4">
        <v>45623</v>
      </c>
      <c r="R112" s="4">
        <v>45618</v>
      </c>
      <c r="S112" s="1" t="s">
        <v>228</v>
      </c>
      <c r="T112" s="3">
        <v>5</v>
      </c>
      <c r="U112" s="3" t="s">
        <v>29</v>
      </c>
      <c r="V112" s="1" t="s">
        <v>63</v>
      </c>
      <c r="W112" s="1" t="s">
        <v>14</v>
      </c>
      <c r="X112" s="3" t="s">
        <v>15</v>
      </c>
      <c r="Y112">
        <v>10</v>
      </c>
    </row>
    <row r="113" spans="1:25" x14ac:dyDescent="0.3">
      <c r="A113" s="1" t="s">
        <v>246</v>
      </c>
      <c r="B113" s="1" t="s">
        <v>1</v>
      </c>
      <c r="C113" s="1" t="s">
        <v>247</v>
      </c>
      <c r="D113" s="1" t="s">
        <v>99</v>
      </c>
      <c r="E113" s="1" t="s">
        <v>4</v>
      </c>
      <c r="F113" s="1" t="s">
        <v>5</v>
      </c>
      <c r="G113" s="1" t="s">
        <v>242</v>
      </c>
      <c r="H113" s="1" t="s">
        <v>248</v>
      </c>
      <c r="I113" s="1">
        <v>120</v>
      </c>
      <c r="J113" s="1" t="s">
        <v>41</v>
      </c>
      <c r="K113" s="1"/>
      <c r="L113" s="1">
        <v>1</v>
      </c>
      <c r="M113" s="1" t="s">
        <v>7</v>
      </c>
      <c r="N113" s="5">
        <v>10885</v>
      </c>
      <c r="O113" s="1" t="s">
        <v>21</v>
      </c>
      <c r="P113" s="4">
        <v>45631</v>
      </c>
      <c r="Q113" s="4">
        <v>45636</v>
      </c>
      <c r="R113" s="4">
        <v>45620</v>
      </c>
      <c r="S113" s="1" t="s">
        <v>228</v>
      </c>
      <c r="T113" s="3">
        <v>16</v>
      </c>
      <c r="U113" s="3" t="s">
        <v>12</v>
      </c>
      <c r="V113" s="1" t="s">
        <v>63</v>
      </c>
      <c r="W113" s="1" t="s">
        <v>14</v>
      </c>
      <c r="X113" s="3" t="s">
        <v>15</v>
      </c>
      <c r="Y113">
        <v>11</v>
      </c>
    </row>
    <row r="114" spans="1:25" x14ac:dyDescent="0.3">
      <c r="A114" s="1" t="s">
        <v>55</v>
      </c>
      <c r="B114" s="1" t="s">
        <v>44</v>
      </c>
      <c r="C114" s="1" t="s">
        <v>61</v>
      </c>
      <c r="D114" s="1" t="s">
        <v>50</v>
      </c>
      <c r="E114" s="1" t="s">
        <v>55</v>
      </c>
      <c r="F114" s="1" t="s">
        <v>45</v>
      </c>
      <c r="G114" s="1" t="s">
        <v>249</v>
      </c>
      <c r="H114" s="1" t="s">
        <v>249</v>
      </c>
      <c r="I114" s="1"/>
      <c r="J114" s="1"/>
      <c r="K114" s="1"/>
      <c r="L114" s="1">
        <v>1</v>
      </c>
      <c r="M114" s="1" t="s">
        <v>7</v>
      </c>
      <c r="N114" s="5">
        <v>6000</v>
      </c>
      <c r="O114" s="1" t="s">
        <v>21</v>
      </c>
      <c r="P114" s="4">
        <v>45631</v>
      </c>
      <c r="Q114" s="4">
        <v>45616</v>
      </c>
      <c r="R114" s="4">
        <v>45615</v>
      </c>
      <c r="S114" s="1" t="s">
        <v>228</v>
      </c>
      <c r="T114" s="3">
        <v>1</v>
      </c>
      <c r="U114" s="3" t="s">
        <v>29</v>
      </c>
      <c r="V114" s="1" t="s">
        <v>250</v>
      </c>
      <c r="W114" s="1" t="s">
        <v>14</v>
      </c>
      <c r="X114" s="3" t="s">
        <v>15</v>
      </c>
      <c r="Y114">
        <v>16</v>
      </c>
    </row>
    <row r="115" spans="1:25" x14ac:dyDescent="0.3">
      <c r="A115" s="1" t="s">
        <v>251</v>
      </c>
      <c r="B115" s="1" t="s">
        <v>1</v>
      </c>
      <c r="C115" s="1" t="s">
        <v>252</v>
      </c>
      <c r="D115" s="1" t="s">
        <v>18</v>
      </c>
      <c r="E115" s="1" t="s">
        <v>4</v>
      </c>
      <c r="F115" s="1" t="s">
        <v>73</v>
      </c>
      <c r="G115" s="1"/>
      <c r="H115" s="1" t="s">
        <v>253</v>
      </c>
      <c r="I115" s="1"/>
      <c r="J115" s="1"/>
      <c r="K115" s="1"/>
      <c r="L115" s="1">
        <v>1</v>
      </c>
      <c r="M115" s="1" t="s">
        <v>7</v>
      </c>
      <c r="N115" s="5">
        <v>8449</v>
      </c>
      <c r="O115" s="1" t="s">
        <v>10</v>
      </c>
      <c r="P115" s="4">
        <v>45636</v>
      </c>
      <c r="Q115" s="4">
        <v>45649</v>
      </c>
      <c r="R115" s="4">
        <v>45623</v>
      </c>
      <c r="S115" s="1" t="s">
        <v>228</v>
      </c>
      <c r="T115" s="3">
        <v>26</v>
      </c>
      <c r="U115" s="3" t="s">
        <v>12</v>
      </c>
      <c r="V115" s="1" t="s">
        <v>13</v>
      </c>
      <c r="W115" s="1" t="s">
        <v>14</v>
      </c>
      <c r="X115" s="3" t="s">
        <v>15</v>
      </c>
      <c r="Y115">
        <v>13</v>
      </c>
    </row>
    <row r="116" spans="1:25" x14ac:dyDescent="0.3">
      <c r="A116" s="1" t="s">
        <v>254</v>
      </c>
      <c r="B116" s="1" t="s">
        <v>1</v>
      </c>
      <c r="C116" s="1" t="s">
        <v>81</v>
      </c>
      <c r="D116" s="1" t="s">
        <v>50</v>
      </c>
      <c r="E116" s="1" t="s">
        <v>4</v>
      </c>
      <c r="F116" s="1" t="s">
        <v>73</v>
      </c>
      <c r="G116" s="1" t="s">
        <v>255</v>
      </c>
      <c r="H116" s="1" t="s">
        <v>256</v>
      </c>
      <c r="I116" s="1"/>
      <c r="J116" s="1" t="s">
        <v>8</v>
      </c>
      <c r="K116" s="1" t="s">
        <v>257</v>
      </c>
      <c r="L116" s="1">
        <v>1</v>
      </c>
      <c r="M116" s="1" t="s">
        <v>7</v>
      </c>
      <c r="N116" s="5">
        <v>10249</v>
      </c>
      <c r="O116" s="1" t="s">
        <v>21</v>
      </c>
      <c r="P116" s="4">
        <v>45636</v>
      </c>
      <c r="Q116" s="4">
        <v>45645</v>
      </c>
      <c r="R116" s="4">
        <v>45623</v>
      </c>
      <c r="S116" s="1" t="s">
        <v>228</v>
      </c>
      <c r="T116" s="3">
        <v>22</v>
      </c>
      <c r="U116" s="3" t="s">
        <v>12</v>
      </c>
      <c r="V116" s="1" t="s">
        <v>63</v>
      </c>
      <c r="W116" s="1" t="s">
        <v>14</v>
      </c>
      <c r="X116" s="3" t="s">
        <v>15</v>
      </c>
      <c r="Y116">
        <v>13</v>
      </c>
    </row>
    <row r="117" spans="1:25" x14ac:dyDescent="0.3">
      <c r="A117" s="1" t="s">
        <v>258</v>
      </c>
      <c r="B117" s="1" t="s">
        <v>1</v>
      </c>
      <c r="C117" s="1" t="s">
        <v>259</v>
      </c>
      <c r="D117" s="1" t="s">
        <v>18</v>
      </c>
      <c r="E117" s="1" t="s">
        <v>4</v>
      </c>
      <c r="F117" s="1" t="s">
        <v>5</v>
      </c>
      <c r="G117" s="1" t="s">
        <v>25</v>
      </c>
      <c r="H117" s="1" t="s">
        <v>26</v>
      </c>
      <c r="I117" s="1">
        <v>100</v>
      </c>
      <c r="J117" s="1" t="s">
        <v>19</v>
      </c>
      <c r="K117" s="1"/>
      <c r="L117" s="1">
        <v>1</v>
      </c>
      <c r="M117" s="1" t="s">
        <v>7</v>
      </c>
      <c r="N117" s="5">
        <v>14905</v>
      </c>
      <c r="O117" s="1" t="s">
        <v>10</v>
      </c>
      <c r="P117" s="4">
        <v>45641</v>
      </c>
      <c r="Q117" s="4" t="s">
        <v>7</v>
      </c>
      <c r="R117" s="4">
        <v>45625</v>
      </c>
      <c r="S117" s="1" t="s">
        <v>228</v>
      </c>
      <c r="T117" s="3">
        <v>0</v>
      </c>
      <c r="U117" s="3" t="s">
        <v>29</v>
      </c>
      <c r="V117" s="1" t="s">
        <v>260</v>
      </c>
      <c r="W117" s="1" t="s">
        <v>60</v>
      </c>
      <c r="X117" s="3" t="s">
        <v>32</v>
      </c>
      <c r="Y117">
        <v>16</v>
      </c>
    </row>
    <row r="118" spans="1:25" x14ac:dyDescent="0.3">
      <c r="A118" s="1" t="s">
        <v>261</v>
      </c>
      <c r="B118" s="1" t="s">
        <v>1</v>
      </c>
      <c r="C118" s="1" t="s">
        <v>84</v>
      </c>
      <c r="D118" s="1" t="s">
        <v>50</v>
      </c>
      <c r="E118" s="1" t="s">
        <v>4</v>
      </c>
      <c r="F118" s="1" t="s">
        <v>73</v>
      </c>
      <c r="G118" s="1" t="s">
        <v>255</v>
      </c>
      <c r="H118" s="1" t="s">
        <v>256</v>
      </c>
      <c r="I118" s="1"/>
      <c r="J118" s="1" t="s">
        <v>190</v>
      </c>
      <c r="K118" s="1" t="s">
        <v>262</v>
      </c>
      <c r="L118" s="1">
        <v>1</v>
      </c>
      <c r="M118" s="1" t="s">
        <v>7</v>
      </c>
      <c r="N118" s="5">
        <v>10249</v>
      </c>
      <c r="O118" s="1" t="s">
        <v>10</v>
      </c>
      <c r="P118" s="4">
        <v>45638</v>
      </c>
      <c r="Q118" s="4" t="s">
        <v>7</v>
      </c>
      <c r="R118" s="4">
        <v>45626</v>
      </c>
      <c r="S118" s="1" t="s">
        <v>228</v>
      </c>
      <c r="T118" s="3">
        <v>0</v>
      </c>
      <c r="U118" s="3" t="s">
        <v>29</v>
      </c>
      <c r="V118" s="1" t="s">
        <v>59</v>
      </c>
      <c r="W118" s="1" t="s">
        <v>60</v>
      </c>
      <c r="X118" s="3" t="s">
        <v>32</v>
      </c>
      <c r="Y118">
        <v>12</v>
      </c>
    </row>
    <row r="119" spans="1:25" x14ac:dyDescent="0.3">
      <c r="A119" s="1" t="s">
        <v>261</v>
      </c>
      <c r="B119" s="1" t="s">
        <v>1</v>
      </c>
      <c r="C119" s="1" t="s">
        <v>84</v>
      </c>
      <c r="D119" s="1" t="s">
        <v>50</v>
      </c>
      <c r="E119" s="1" t="s">
        <v>4</v>
      </c>
      <c r="F119" s="1" t="s">
        <v>73</v>
      </c>
      <c r="G119" s="1" t="s">
        <v>110</v>
      </c>
      <c r="H119" s="1"/>
      <c r="I119" s="1"/>
      <c r="J119" s="1" t="s">
        <v>19</v>
      </c>
      <c r="K119" s="1" t="s">
        <v>263</v>
      </c>
      <c r="L119" s="1">
        <v>1</v>
      </c>
      <c r="M119" s="1" t="s">
        <v>7</v>
      </c>
      <c r="N119" s="5">
        <v>9029</v>
      </c>
      <c r="O119" s="1" t="s">
        <v>10</v>
      </c>
      <c r="P119" s="4">
        <v>45638</v>
      </c>
      <c r="Q119" s="4" t="s">
        <v>7</v>
      </c>
      <c r="R119" s="4">
        <v>45626</v>
      </c>
      <c r="S119" s="1" t="s">
        <v>228</v>
      </c>
      <c r="T119" s="3">
        <v>0</v>
      </c>
      <c r="U119" s="3" t="s">
        <v>29</v>
      </c>
      <c r="V119" s="1" t="s">
        <v>59</v>
      </c>
      <c r="W119" s="1" t="s">
        <v>60</v>
      </c>
      <c r="X119" s="3" t="s">
        <v>32</v>
      </c>
      <c r="Y119">
        <v>12</v>
      </c>
    </row>
    <row r="120" spans="1:25" x14ac:dyDescent="0.3">
      <c r="A120" s="1" t="s">
        <v>264</v>
      </c>
      <c r="B120" s="1" t="s">
        <v>1</v>
      </c>
      <c r="C120" s="1" t="s">
        <v>106</v>
      </c>
      <c r="D120" s="1" t="s">
        <v>35</v>
      </c>
      <c r="E120" s="1" t="s">
        <v>4</v>
      </c>
      <c r="F120" s="1" t="s">
        <v>73</v>
      </c>
      <c r="G120" s="1" t="s">
        <v>74</v>
      </c>
      <c r="H120" s="1"/>
      <c r="I120" s="1"/>
      <c r="J120" s="1" t="s">
        <v>190</v>
      </c>
      <c r="K120" s="1" t="s">
        <v>265</v>
      </c>
      <c r="L120" s="1">
        <v>1</v>
      </c>
      <c r="M120" s="1" t="s">
        <v>7</v>
      </c>
      <c r="N120" s="5">
        <v>9029</v>
      </c>
      <c r="O120" s="1" t="s">
        <v>10</v>
      </c>
      <c r="P120" s="4">
        <v>45638</v>
      </c>
      <c r="Q120" s="4" t="s">
        <v>7</v>
      </c>
      <c r="R120" s="4">
        <v>45626</v>
      </c>
      <c r="S120" s="1" t="s">
        <v>228</v>
      </c>
      <c r="T120" s="3">
        <v>0</v>
      </c>
      <c r="U120" s="3" t="s">
        <v>29</v>
      </c>
      <c r="V120" s="1" t="s">
        <v>7</v>
      </c>
      <c r="W120" s="1" t="s">
        <v>31</v>
      </c>
      <c r="X120" s="3" t="s">
        <v>32</v>
      </c>
      <c r="Y120">
        <v>12</v>
      </c>
    </row>
    <row r="121" spans="1:25" x14ac:dyDescent="0.3">
      <c r="A121" s="1" t="s">
        <v>266</v>
      </c>
      <c r="B121" s="1" t="s">
        <v>1</v>
      </c>
      <c r="C121" s="1" t="s">
        <v>267</v>
      </c>
      <c r="D121" s="1" t="s">
        <v>50</v>
      </c>
      <c r="E121" s="1" t="s">
        <v>4</v>
      </c>
      <c r="F121" s="1" t="s">
        <v>5</v>
      </c>
      <c r="G121" s="1" t="s">
        <v>236</v>
      </c>
      <c r="H121" s="1" t="s">
        <v>40</v>
      </c>
      <c r="I121" s="1">
        <v>80</v>
      </c>
      <c r="J121" s="1" t="s">
        <v>8</v>
      </c>
      <c r="K121" s="1"/>
      <c r="L121" s="1">
        <v>1</v>
      </c>
      <c r="M121" s="1" t="s">
        <v>7</v>
      </c>
      <c r="N121" s="5">
        <v>12099</v>
      </c>
      <c r="O121" s="1" t="s">
        <v>10</v>
      </c>
      <c r="P121" s="4">
        <v>45643</v>
      </c>
      <c r="Q121" s="4" t="s">
        <v>7</v>
      </c>
      <c r="R121" s="4">
        <v>45628</v>
      </c>
      <c r="S121" s="1" t="s">
        <v>268</v>
      </c>
      <c r="T121" s="3">
        <v>0</v>
      </c>
      <c r="U121" s="3" t="s">
        <v>29</v>
      </c>
      <c r="V121" s="1" t="s">
        <v>59</v>
      </c>
      <c r="W121" s="1" t="s">
        <v>60</v>
      </c>
      <c r="X121" s="3" t="s">
        <v>32</v>
      </c>
      <c r="Y121">
        <v>15</v>
      </c>
    </row>
    <row r="122" spans="1:25" x14ac:dyDescent="0.3">
      <c r="A122" s="1" t="s">
        <v>97</v>
      </c>
      <c r="B122" s="1" t="s">
        <v>44</v>
      </c>
      <c r="C122" s="1" t="s">
        <v>183</v>
      </c>
      <c r="D122" s="1" t="s">
        <v>50</v>
      </c>
      <c r="E122" s="1" t="s">
        <v>78</v>
      </c>
      <c r="F122" s="1" t="s">
        <v>5</v>
      </c>
      <c r="G122" s="1" t="s">
        <v>236</v>
      </c>
      <c r="H122" s="1" t="s">
        <v>240</v>
      </c>
      <c r="I122" s="1">
        <v>90</v>
      </c>
      <c r="J122" s="1" t="s">
        <v>27</v>
      </c>
      <c r="K122" s="1"/>
      <c r="L122" s="1">
        <v>1</v>
      </c>
      <c r="M122" s="1" t="s">
        <v>7</v>
      </c>
      <c r="N122" s="5">
        <v>5217</v>
      </c>
      <c r="O122" s="1" t="s">
        <v>101</v>
      </c>
      <c r="P122" s="4">
        <v>45640</v>
      </c>
      <c r="Q122" s="4">
        <v>45636</v>
      </c>
      <c r="R122" s="4">
        <v>45627</v>
      </c>
      <c r="S122" s="1" t="s">
        <v>268</v>
      </c>
      <c r="T122" s="3">
        <v>9</v>
      </c>
      <c r="U122" s="3" t="s">
        <v>29</v>
      </c>
      <c r="V122" s="1" t="s">
        <v>63</v>
      </c>
      <c r="W122" s="1" t="s">
        <v>14</v>
      </c>
      <c r="X122" s="3" t="s">
        <v>15</v>
      </c>
      <c r="Y122">
        <v>13</v>
      </c>
    </row>
    <row r="123" spans="1:25" x14ac:dyDescent="0.3">
      <c r="A123" s="1" t="s">
        <v>269</v>
      </c>
      <c r="B123" s="1" t="s">
        <v>1</v>
      </c>
      <c r="C123" s="1" t="s">
        <v>167</v>
      </c>
      <c r="D123" s="1" t="s">
        <v>99</v>
      </c>
      <c r="E123" s="1" t="s">
        <v>4</v>
      </c>
      <c r="F123" s="1" t="s">
        <v>5</v>
      </c>
      <c r="G123" s="1" t="s">
        <v>6</v>
      </c>
      <c r="H123" s="1"/>
      <c r="I123" s="1"/>
      <c r="J123" s="1" t="s">
        <v>19</v>
      </c>
      <c r="K123" s="1" t="s">
        <v>19</v>
      </c>
      <c r="L123" s="1">
        <v>1</v>
      </c>
      <c r="M123" s="1" t="s">
        <v>7</v>
      </c>
      <c r="N123" s="5">
        <v>10249</v>
      </c>
      <c r="O123" s="1" t="s">
        <v>21</v>
      </c>
      <c r="P123" s="4">
        <v>45640</v>
      </c>
      <c r="Q123" s="4">
        <v>45645</v>
      </c>
      <c r="R123" s="4">
        <v>45630</v>
      </c>
      <c r="S123" s="1" t="s">
        <v>268</v>
      </c>
      <c r="T123" s="3">
        <v>15</v>
      </c>
      <c r="U123" s="3" t="s">
        <v>12</v>
      </c>
      <c r="V123" s="1" t="s">
        <v>63</v>
      </c>
      <c r="W123" s="1" t="s">
        <v>14</v>
      </c>
      <c r="X123" s="3" t="s">
        <v>15</v>
      </c>
      <c r="Y123">
        <v>10</v>
      </c>
    </row>
    <row r="124" spans="1:25" x14ac:dyDescent="0.3">
      <c r="A124" s="1" t="s">
        <v>270</v>
      </c>
      <c r="B124" s="1" t="s">
        <v>1</v>
      </c>
      <c r="C124" s="1" t="s">
        <v>271</v>
      </c>
      <c r="D124" s="1" t="s">
        <v>50</v>
      </c>
      <c r="E124" s="1" t="s">
        <v>43</v>
      </c>
      <c r="F124" s="1" t="s">
        <v>5</v>
      </c>
      <c r="G124" s="1" t="s">
        <v>25</v>
      </c>
      <c r="H124" s="1" t="s">
        <v>82</v>
      </c>
      <c r="I124" s="1"/>
      <c r="J124" s="1" t="s">
        <v>19</v>
      </c>
      <c r="K124" s="1"/>
      <c r="L124" s="1">
        <v>1</v>
      </c>
      <c r="M124" s="1" t="s">
        <v>7</v>
      </c>
      <c r="N124" s="5">
        <v>10445</v>
      </c>
      <c r="O124" s="1" t="s">
        <v>21</v>
      </c>
      <c r="P124" s="4">
        <v>45657</v>
      </c>
      <c r="Q124" s="4">
        <v>45638</v>
      </c>
      <c r="R124" s="4">
        <v>45635</v>
      </c>
      <c r="S124" s="1" t="s">
        <v>268</v>
      </c>
      <c r="T124" s="3">
        <v>3</v>
      </c>
      <c r="U124" s="3" t="s">
        <v>29</v>
      </c>
      <c r="V124" s="1" t="s">
        <v>63</v>
      </c>
      <c r="W124" s="1" t="s">
        <v>14</v>
      </c>
      <c r="X124" s="3" t="s">
        <v>15</v>
      </c>
      <c r="Y124">
        <v>22</v>
      </c>
    </row>
    <row r="125" spans="1:25" x14ac:dyDescent="0.3">
      <c r="A125" s="1" t="s">
        <v>272</v>
      </c>
      <c r="B125" s="1" t="s">
        <v>1</v>
      </c>
      <c r="C125" s="1" t="s">
        <v>84</v>
      </c>
      <c r="D125" s="1" t="s">
        <v>50</v>
      </c>
      <c r="E125" s="1" t="s">
        <v>4</v>
      </c>
      <c r="F125" s="1" t="s">
        <v>73</v>
      </c>
      <c r="G125" s="1" t="s">
        <v>273</v>
      </c>
      <c r="H125" s="1" t="s">
        <v>256</v>
      </c>
      <c r="I125" s="1"/>
      <c r="J125" s="1" t="s">
        <v>190</v>
      </c>
      <c r="K125" s="1" t="s">
        <v>262</v>
      </c>
      <c r="L125" s="1">
        <v>1</v>
      </c>
      <c r="M125" s="1" t="s">
        <v>7</v>
      </c>
      <c r="N125" s="5">
        <v>11199</v>
      </c>
      <c r="O125" s="1" t="s">
        <v>21</v>
      </c>
      <c r="P125" s="4">
        <v>45650</v>
      </c>
      <c r="Q125" s="4">
        <v>45645</v>
      </c>
      <c r="R125" s="4">
        <v>45638</v>
      </c>
      <c r="S125" s="1" t="s">
        <v>268</v>
      </c>
      <c r="T125" s="3">
        <v>7</v>
      </c>
      <c r="U125" s="3" t="s">
        <v>29</v>
      </c>
      <c r="V125" s="1" t="s">
        <v>63</v>
      </c>
      <c r="W125" s="1" t="s">
        <v>14</v>
      </c>
      <c r="X125" s="3" t="s">
        <v>15</v>
      </c>
      <c r="Y125">
        <v>12</v>
      </c>
    </row>
    <row r="126" spans="1:25" x14ac:dyDescent="0.3">
      <c r="A126" s="1" t="s">
        <v>274</v>
      </c>
      <c r="B126" s="1" t="s">
        <v>1</v>
      </c>
      <c r="C126" s="1" t="s">
        <v>241</v>
      </c>
      <c r="D126" s="1" t="s">
        <v>3</v>
      </c>
      <c r="E126" s="1" t="s">
        <v>4</v>
      </c>
      <c r="F126" s="1" t="s">
        <v>5</v>
      </c>
      <c r="G126" s="1" t="s">
        <v>25</v>
      </c>
      <c r="H126" s="1" t="s">
        <v>40</v>
      </c>
      <c r="I126" s="1">
        <v>80</v>
      </c>
      <c r="J126" s="1" t="s">
        <v>19</v>
      </c>
      <c r="K126" s="1"/>
      <c r="L126" s="1">
        <v>1</v>
      </c>
      <c r="M126" s="1" t="s">
        <v>7</v>
      </c>
      <c r="N126" s="5">
        <v>13099</v>
      </c>
      <c r="O126" s="1" t="s">
        <v>21</v>
      </c>
      <c r="P126" s="4">
        <v>45654</v>
      </c>
      <c r="Q126" s="4">
        <v>45655</v>
      </c>
      <c r="R126" s="4">
        <v>45638</v>
      </c>
      <c r="S126" s="1" t="s">
        <v>268</v>
      </c>
      <c r="T126" s="3">
        <v>17</v>
      </c>
      <c r="U126" s="3" t="s">
        <v>12</v>
      </c>
      <c r="V126" s="1" t="s">
        <v>63</v>
      </c>
      <c r="W126" s="1" t="s">
        <v>14</v>
      </c>
      <c r="X126" s="3" t="s">
        <v>15</v>
      </c>
      <c r="Y126">
        <v>16</v>
      </c>
    </row>
    <row r="127" spans="1:25" x14ac:dyDescent="0.3">
      <c r="A127" s="1" t="s">
        <v>43</v>
      </c>
      <c r="B127" s="1" t="s">
        <v>44</v>
      </c>
      <c r="C127" s="1" t="s">
        <v>203</v>
      </c>
      <c r="D127" s="1" t="s">
        <v>50</v>
      </c>
      <c r="E127" s="1" t="s">
        <v>43</v>
      </c>
      <c r="F127" s="1" t="s">
        <v>45</v>
      </c>
      <c r="G127" s="1" t="s">
        <v>46</v>
      </c>
      <c r="H127" s="1" t="s">
        <v>229</v>
      </c>
      <c r="I127" s="1"/>
      <c r="J127" s="1" t="s">
        <v>190</v>
      </c>
      <c r="K127" s="1" t="s">
        <v>275</v>
      </c>
      <c r="L127" s="1">
        <v>1</v>
      </c>
      <c r="M127" s="1" t="s">
        <v>7</v>
      </c>
      <c r="N127" s="5">
        <v>8700</v>
      </c>
      <c r="O127" s="1" t="s">
        <v>101</v>
      </c>
      <c r="P127" s="4">
        <v>45662</v>
      </c>
      <c r="Q127" s="4">
        <v>45655</v>
      </c>
      <c r="R127" s="4">
        <v>45640</v>
      </c>
      <c r="S127" s="1" t="s">
        <v>268</v>
      </c>
      <c r="T127" s="3">
        <v>15</v>
      </c>
      <c r="U127" s="3" t="s">
        <v>29</v>
      </c>
      <c r="V127" s="1" t="s">
        <v>63</v>
      </c>
      <c r="W127" s="1" t="s">
        <v>14</v>
      </c>
      <c r="X127" s="3" t="s">
        <v>15</v>
      </c>
      <c r="Y127">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974C-5B8B-4178-8837-AE39867506BB}">
  <dimension ref="F5:EI26"/>
  <sheetViews>
    <sheetView topLeftCell="C1" zoomScale="65" workbookViewId="0">
      <selection activeCell="AP1" sqref="AP1:AP1048576"/>
    </sheetView>
  </sheetViews>
  <sheetFormatPr defaultRowHeight="14.4" x14ac:dyDescent="0.3"/>
  <cols>
    <col min="6" max="6" width="12.44140625" bestFit="1" customWidth="1"/>
    <col min="7" max="7" width="19.5546875" bestFit="1" customWidth="1"/>
    <col min="8" max="8" width="14.6640625" bestFit="1" customWidth="1"/>
    <col min="9" max="9" width="15" bestFit="1" customWidth="1"/>
    <col min="10" max="10" width="24.21875" bestFit="1" customWidth="1"/>
    <col min="11" max="11" width="19.21875" bestFit="1" customWidth="1"/>
    <col min="12" max="12" width="13.21875" bestFit="1" customWidth="1"/>
    <col min="13" max="13" width="22.6640625" bestFit="1" customWidth="1"/>
    <col min="14" max="14" width="17.5546875" bestFit="1" customWidth="1"/>
    <col min="15" max="15" width="19.21875" bestFit="1" customWidth="1"/>
    <col min="16" max="16" width="18.44140625" bestFit="1" customWidth="1"/>
    <col min="17" max="17" width="13.21875" bestFit="1" customWidth="1"/>
    <col min="18" max="18" width="13.44140625" bestFit="1" customWidth="1"/>
    <col min="19" max="19" width="14.44140625" bestFit="1" customWidth="1"/>
    <col min="20" max="20" width="10.44140625" customWidth="1"/>
    <col min="21" max="21" width="6.77734375" style="12" customWidth="1"/>
    <col min="25" max="25" width="14.109375" bestFit="1" customWidth="1"/>
    <col min="26" max="26" width="10.33203125" bestFit="1" customWidth="1"/>
    <col min="27" max="27" width="10" bestFit="1" customWidth="1"/>
    <col min="30" max="30" width="3.6640625" style="12" customWidth="1"/>
    <col min="34" max="34" width="14.109375" bestFit="1" customWidth="1"/>
    <col min="35" max="35" width="12.44140625" bestFit="1" customWidth="1"/>
    <col min="39" max="39" width="13.109375" bestFit="1" customWidth="1"/>
    <col min="42" max="42" width="4.88671875" style="12" customWidth="1"/>
    <col min="45" max="45" width="14.109375" bestFit="1" customWidth="1"/>
    <col min="46" max="46" width="12.44140625" bestFit="1" customWidth="1"/>
    <col min="47" max="47" width="16.5546875" bestFit="1" customWidth="1"/>
    <col min="48" max="48" width="17.33203125" bestFit="1" customWidth="1"/>
    <col min="50" max="50" width="4.33203125" style="12" customWidth="1"/>
    <col min="53" max="53" width="14.109375" bestFit="1" customWidth="1"/>
    <col min="54" max="54" width="10.33203125" bestFit="1" customWidth="1"/>
    <col min="56" max="56" width="12.77734375" bestFit="1" customWidth="1"/>
    <col min="57" max="57" width="12.88671875" style="12" bestFit="1" customWidth="1"/>
    <col min="58" max="59" width="15.5546875" bestFit="1" customWidth="1"/>
    <col min="60" max="60" width="14.109375" bestFit="1" customWidth="1"/>
    <col min="61" max="61" width="12.44140625" bestFit="1" customWidth="1"/>
    <col min="62" max="62" width="15.5546875" bestFit="1" customWidth="1"/>
    <col min="63" max="63" width="10.88671875" bestFit="1" customWidth="1"/>
    <col min="64" max="64" width="14.109375" bestFit="1" customWidth="1"/>
    <col min="65" max="65" width="12.44140625" bestFit="1" customWidth="1"/>
    <col min="66" max="66" width="10.109375" bestFit="1" customWidth="1"/>
    <col min="68" max="68" width="4" style="12" customWidth="1"/>
    <col min="69" max="70" width="5.33203125" bestFit="1" customWidth="1"/>
    <col min="71" max="71" width="6.88671875" bestFit="1" customWidth="1"/>
    <col min="72" max="72" width="5.77734375" bestFit="1" customWidth="1"/>
    <col min="73" max="73" width="7" bestFit="1" customWidth="1"/>
    <col min="74" max="74" width="6" bestFit="1" customWidth="1"/>
    <col min="75" max="75" width="14.109375" bestFit="1" customWidth="1"/>
    <col min="76" max="76" width="12.44140625" bestFit="1" customWidth="1"/>
    <col min="77" max="77" width="6.33203125" bestFit="1" customWidth="1"/>
    <col min="78" max="78" width="13.109375" bestFit="1" customWidth="1"/>
    <col min="79" max="80" width="6.33203125" bestFit="1" customWidth="1"/>
    <col min="81" max="81" width="7.109375" style="12" bestFit="1" customWidth="1"/>
    <col min="82" max="82" width="6.33203125" bestFit="1" customWidth="1"/>
    <col min="83" max="83" width="11.5546875" bestFit="1" customWidth="1"/>
    <col min="84" max="84" width="11.44140625" bestFit="1" customWidth="1"/>
    <col min="85" max="85" width="7.44140625" bestFit="1" customWidth="1"/>
    <col min="86" max="86" width="6.5546875" bestFit="1" customWidth="1"/>
    <col min="87" max="87" width="9.109375" bestFit="1" customWidth="1"/>
    <col min="88" max="88" width="6.33203125" bestFit="1" customWidth="1"/>
    <col min="89" max="89" width="12.88671875" bestFit="1" customWidth="1"/>
    <col min="90" max="90" width="14.109375" bestFit="1" customWidth="1"/>
    <col min="91" max="91" width="12.44140625" bestFit="1" customWidth="1"/>
    <col min="95" max="95" width="8.88671875" style="12"/>
    <col min="99" max="100" width="16.5546875" bestFit="1" customWidth="1"/>
    <col min="109" max="109" width="14.109375" bestFit="1" customWidth="1"/>
    <col min="110" max="110" width="32.77734375" bestFit="1" customWidth="1"/>
    <col min="111" max="111" width="3.5546875" bestFit="1" customWidth="1"/>
    <col min="115" max="115" width="5" customWidth="1"/>
    <col min="116" max="116" width="8.88671875" hidden="1" customWidth="1"/>
    <col min="117" max="117" width="14.109375" bestFit="1" customWidth="1"/>
    <col min="118" max="118" width="12.88671875" bestFit="1" customWidth="1"/>
    <col min="119" max="119" width="16.88671875" bestFit="1" customWidth="1"/>
    <col min="120" max="120" width="27.44140625" bestFit="1" customWidth="1"/>
    <col min="121" max="121" width="22.88671875" bestFit="1" customWidth="1"/>
    <col min="123" max="123" width="8.88671875" style="12"/>
    <col min="126" max="126" width="14.109375" bestFit="1" customWidth="1"/>
    <col min="127" max="127" width="11.44140625" bestFit="1" customWidth="1"/>
    <col min="131" max="131" width="13.109375" bestFit="1" customWidth="1"/>
    <col min="134" max="134" width="14.109375" bestFit="1" customWidth="1"/>
    <col min="135" max="135" width="12.44140625" bestFit="1" customWidth="1"/>
    <col min="139" max="139" width="8.88671875" style="12"/>
  </cols>
  <sheetData>
    <row r="5" spans="6:135" x14ac:dyDescent="0.3">
      <c r="AT5" s="14"/>
    </row>
    <row r="6" spans="6:135" x14ac:dyDescent="0.3">
      <c r="Y6" s="6" t="s">
        <v>301</v>
      </c>
      <c r="Z6" t="s">
        <v>302</v>
      </c>
      <c r="AF6" s="14"/>
      <c r="AH6" s="6" t="s">
        <v>301</v>
      </c>
      <c r="AI6" t="s">
        <v>302</v>
      </c>
      <c r="AL6" t="str">
        <f>AH6</f>
        <v>Row Labels</v>
      </c>
      <c r="AM6" t="str">
        <f>AI6</f>
        <v>Total Sales</v>
      </c>
      <c r="AS6" s="6" t="s">
        <v>301</v>
      </c>
      <c r="AT6" t="s">
        <v>302</v>
      </c>
      <c r="AU6" t="s">
        <v>321</v>
      </c>
      <c r="BA6" s="6" t="s">
        <v>301</v>
      </c>
      <c r="BB6" t="s">
        <v>302</v>
      </c>
      <c r="BH6" s="6" t="s">
        <v>301</v>
      </c>
      <c r="BI6" t="s">
        <v>302</v>
      </c>
      <c r="BL6" s="6" t="s">
        <v>301</v>
      </c>
      <c r="BM6" t="s">
        <v>302</v>
      </c>
      <c r="BW6" s="6" t="s">
        <v>301</v>
      </c>
      <c r="BX6" t="s">
        <v>302</v>
      </c>
      <c r="CL6" s="6" t="s">
        <v>301</v>
      </c>
      <c r="CM6" t="s">
        <v>302</v>
      </c>
      <c r="CU6" s="6" t="s">
        <v>301</v>
      </c>
      <c r="CV6" t="s">
        <v>321</v>
      </c>
      <c r="DE6" s="6" t="s">
        <v>301</v>
      </c>
      <c r="DF6" t="s">
        <v>333</v>
      </c>
      <c r="DM6" t="s">
        <v>333</v>
      </c>
      <c r="DN6" t="s">
        <v>334</v>
      </c>
      <c r="DO6" t="s">
        <v>335</v>
      </c>
      <c r="DP6" t="s">
        <v>336</v>
      </c>
      <c r="DV6" s="6" t="s">
        <v>301</v>
      </c>
      <c r="DW6" t="s">
        <v>302</v>
      </c>
    </row>
    <row r="7" spans="6:135" x14ac:dyDescent="0.3">
      <c r="F7" t="s">
        <v>302</v>
      </c>
      <c r="G7" t="s">
        <v>303</v>
      </c>
      <c r="H7" t="s">
        <v>304</v>
      </c>
      <c r="I7" t="s">
        <v>305</v>
      </c>
      <c r="J7" t="s">
        <v>306</v>
      </c>
      <c r="K7" t="s">
        <v>313</v>
      </c>
      <c r="L7" t="s">
        <v>307</v>
      </c>
      <c r="M7" t="s">
        <v>308</v>
      </c>
      <c r="N7" t="s">
        <v>309</v>
      </c>
      <c r="O7" t="s">
        <v>310</v>
      </c>
      <c r="P7" t="s">
        <v>311</v>
      </c>
      <c r="Q7" t="s">
        <v>312</v>
      </c>
      <c r="R7" t="s">
        <v>315</v>
      </c>
      <c r="S7" t="s">
        <v>318</v>
      </c>
      <c r="Y7" s="15" t="s">
        <v>317</v>
      </c>
      <c r="Z7" s="16">
        <v>7396</v>
      </c>
      <c r="AH7" s="7" t="s">
        <v>50</v>
      </c>
      <c r="AI7" s="8">
        <v>660159.91</v>
      </c>
      <c r="AL7" t="str">
        <f t="shared" ref="AL7:AL15" si="0">AH7</f>
        <v>القاهرة</v>
      </c>
      <c r="AM7" s="9">
        <f t="shared" ref="AM7:AM15" si="1">AI7</f>
        <v>660159.91</v>
      </c>
      <c r="AS7" s="7" t="s">
        <v>1</v>
      </c>
      <c r="AT7" s="8">
        <v>969482.90544</v>
      </c>
      <c r="AU7" s="8">
        <v>91</v>
      </c>
      <c r="BA7" s="7" t="s">
        <v>11</v>
      </c>
      <c r="BB7" s="16">
        <v>31775</v>
      </c>
      <c r="BH7" s="7" t="s">
        <v>327</v>
      </c>
      <c r="BI7" s="8">
        <v>178607</v>
      </c>
      <c r="BL7" s="7" t="s">
        <v>331</v>
      </c>
      <c r="BM7" s="8">
        <v>756062.81544000003</v>
      </c>
      <c r="BW7" s="7" t="s">
        <v>10</v>
      </c>
      <c r="BX7" s="8">
        <v>733372</v>
      </c>
      <c r="CL7" s="7" t="s">
        <v>5</v>
      </c>
      <c r="CM7" s="8">
        <v>843545.81544000003</v>
      </c>
      <c r="CU7" s="7" t="s">
        <v>1</v>
      </c>
      <c r="CV7" s="8">
        <v>91</v>
      </c>
      <c r="DE7" s="7" t="s">
        <v>12</v>
      </c>
      <c r="DF7" s="8">
        <v>68</v>
      </c>
      <c r="DM7" s="8">
        <v>126</v>
      </c>
      <c r="DN7" s="8">
        <v>24</v>
      </c>
      <c r="DO7" s="16">
        <v>263555.90999999997</v>
      </c>
      <c r="DP7" s="16">
        <v>145178</v>
      </c>
      <c r="DV7" s="7" t="s">
        <v>322</v>
      </c>
      <c r="DW7" s="8">
        <v>5135</v>
      </c>
      <c r="DZ7" t="str">
        <f>DV6</f>
        <v>Row Labels</v>
      </c>
      <c r="EA7" t="str">
        <f>DW6</f>
        <v>Total Sales</v>
      </c>
      <c r="ED7" s="6" t="s">
        <v>301</v>
      </c>
      <c r="EE7" t="s">
        <v>302</v>
      </c>
    </row>
    <row r="8" spans="6:135" x14ac:dyDescent="0.3">
      <c r="F8" s="8">
        <v>1292649.81544</v>
      </c>
      <c r="G8" s="8">
        <v>1221641.81544</v>
      </c>
      <c r="H8" s="8">
        <v>5.8125056872275586E-2</v>
      </c>
      <c r="I8" s="8">
        <v>126</v>
      </c>
      <c r="J8" s="8">
        <v>119</v>
      </c>
      <c r="K8" s="8">
        <v>5.8823529411764705E-2</v>
      </c>
      <c r="L8" s="8">
        <v>154</v>
      </c>
      <c r="M8" s="8">
        <v>147</v>
      </c>
      <c r="N8" s="8">
        <v>4.7619047619047616E-2</v>
      </c>
      <c r="O8" s="8">
        <v>10259.12551936508</v>
      </c>
      <c r="P8" s="8">
        <v>10265.897608739497</v>
      </c>
      <c r="Q8" s="8">
        <v>-6.596685095175721E-4</v>
      </c>
      <c r="R8" s="8">
        <v>9</v>
      </c>
      <c r="S8" s="8">
        <v>7</v>
      </c>
      <c r="Y8" s="15" t="s">
        <v>231</v>
      </c>
      <c r="Z8" s="16">
        <v>9655</v>
      </c>
      <c r="AH8" s="7" t="s">
        <v>3</v>
      </c>
      <c r="AI8" s="8">
        <v>336149</v>
      </c>
      <c r="AL8" t="str">
        <f t="shared" si="0"/>
        <v>الجيزة</v>
      </c>
      <c r="AM8" s="9">
        <f t="shared" si="1"/>
        <v>336149</v>
      </c>
      <c r="AS8" s="7" t="s">
        <v>44</v>
      </c>
      <c r="AT8" s="8">
        <v>323166.90999999997</v>
      </c>
      <c r="AU8" s="8">
        <v>35</v>
      </c>
      <c r="BA8" s="7" t="s">
        <v>38</v>
      </c>
      <c r="BB8" s="16">
        <v>105253</v>
      </c>
      <c r="BH8" s="7" t="s">
        <v>325</v>
      </c>
      <c r="BI8" s="8">
        <v>137872</v>
      </c>
      <c r="BL8" s="7" t="s">
        <v>332</v>
      </c>
      <c r="BM8" s="8">
        <v>536587</v>
      </c>
      <c r="BW8" s="7" t="s">
        <v>21</v>
      </c>
      <c r="BX8" s="8">
        <v>447217</v>
      </c>
      <c r="CL8" s="7" t="s">
        <v>45</v>
      </c>
      <c r="CM8" s="8">
        <v>257234</v>
      </c>
      <c r="CU8" s="7" t="s">
        <v>44</v>
      </c>
      <c r="CV8" s="8">
        <v>35</v>
      </c>
      <c r="DE8" s="7" t="s">
        <v>29</v>
      </c>
      <c r="DF8" s="8">
        <v>58</v>
      </c>
      <c r="DV8" s="7" t="s">
        <v>194</v>
      </c>
      <c r="DW8" s="8">
        <v>8544.9054400000005</v>
      </c>
      <c r="DZ8" t="str">
        <f t="shared" ref="DZ8:DZ12" si="2">DV7</f>
        <v>نبيتى</v>
      </c>
      <c r="EA8" s="9">
        <f t="shared" ref="EA8:EA12" si="3">DW7</f>
        <v>5135</v>
      </c>
      <c r="ED8" s="7" t="s">
        <v>314</v>
      </c>
      <c r="EE8" s="8">
        <v>870326.81544000003</v>
      </c>
    </row>
    <row r="9" spans="6:135" x14ac:dyDescent="0.3">
      <c r="Y9" s="15" t="s">
        <v>51</v>
      </c>
      <c r="Z9" s="16">
        <v>27450</v>
      </c>
      <c r="AH9" s="7" t="s">
        <v>35</v>
      </c>
      <c r="AI9" s="8">
        <v>81016</v>
      </c>
      <c r="AL9" t="str">
        <f t="shared" si="0"/>
        <v>البحر الأحمر</v>
      </c>
      <c r="AM9" s="9">
        <f t="shared" si="1"/>
        <v>81016</v>
      </c>
      <c r="BA9" s="7" t="s">
        <v>67</v>
      </c>
      <c r="BB9" s="16">
        <v>670451</v>
      </c>
      <c r="BH9" s="7" t="s">
        <v>329</v>
      </c>
      <c r="BI9" s="8">
        <v>125928.81544000001</v>
      </c>
      <c r="BW9" s="7" t="s">
        <v>101</v>
      </c>
      <c r="BX9" s="8">
        <v>112060.81544000001</v>
      </c>
      <c r="CL9" s="7" t="s">
        <v>73</v>
      </c>
      <c r="CM9" s="8">
        <v>142164</v>
      </c>
      <c r="DV9" s="7" t="s">
        <v>124</v>
      </c>
      <c r="DW9" s="8">
        <v>15528</v>
      </c>
      <c r="DZ9" t="str">
        <f t="shared" si="2"/>
        <v>ملون</v>
      </c>
      <c r="EA9" s="9">
        <f t="shared" si="3"/>
        <v>8544.9054400000005</v>
      </c>
      <c r="ED9" s="7" t="s">
        <v>41</v>
      </c>
      <c r="EE9" s="8">
        <v>124074</v>
      </c>
    </row>
    <row r="10" spans="6:135" x14ac:dyDescent="0.3">
      <c r="Y10" s="15" t="s">
        <v>316</v>
      </c>
      <c r="Z10" s="16">
        <v>68731.91</v>
      </c>
      <c r="AH10" s="7" t="s">
        <v>99</v>
      </c>
      <c r="AI10" s="8">
        <v>69532</v>
      </c>
      <c r="AL10" t="str">
        <f t="shared" si="0"/>
        <v>القليوبية</v>
      </c>
      <c r="AM10" s="9">
        <f t="shared" si="1"/>
        <v>69532</v>
      </c>
      <c r="BA10" s="7" t="s">
        <v>195</v>
      </c>
      <c r="BB10" s="16">
        <v>229191.81544000001</v>
      </c>
      <c r="BH10" s="7" t="s">
        <v>330</v>
      </c>
      <c r="BI10" s="8">
        <v>95783</v>
      </c>
      <c r="CL10" s="7" t="s">
        <v>36</v>
      </c>
      <c r="CM10" s="8">
        <v>30642</v>
      </c>
      <c r="DV10" s="7" t="s">
        <v>142</v>
      </c>
      <c r="DW10" s="8">
        <v>25244</v>
      </c>
      <c r="DZ10" t="str">
        <f t="shared" si="2"/>
        <v>دهبي</v>
      </c>
      <c r="EA10" s="9">
        <f t="shared" si="3"/>
        <v>15528</v>
      </c>
      <c r="ED10" s="7" t="s">
        <v>7</v>
      </c>
      <c r="EE10" s="8">
        <v>62158</v>
      </c>
    </row>
    <row r="11" spans="6:135" x14ac:dyDescent="0.3">
      <c r="Y11" s="15" t="s">
        <v>55</v>
      </c>
      <c r="Z11" s="16">
        <v>82900</v>
      </c>
      <c r="AH11" s="7" t="s">
        <v>18</v>
      </c>
      <c r="AI11" s="8">
        <v>54762</v>
      </c>
      <c r="AL11" t="str">
        <f t="shared" si="0"/>
        <v>الإسكندرية</v>
      </c>
      <c r="AM11" s="9">
        <f t="shared" si="1"/>
        <v>54762</v>
      </c>
      <c r="BA11" s="7" t="s">
        <v>228</v>
      </c>
      <c r="BB11" s="16">
        <v>184971</v>
      </c>
      <c r="BH11" s="7" t="s">
        <v>328</v>
      </c>
      <c r="BI11" s="8">
        <v>217872</v>
      </c>
      <c r="CL11" s="7" t="s">
        <v>200</v>
      </c>
      <c r="CM11" s="8">
        <v>9764</v>
      </c>
      <c r="CU11" t="s">
        <v>321</v>
      </c>
      <c r="CW11" t="str">
        <f>CU11</f>
        <v>Count of نوع العميل</v>
      </c>
      <c r="DM11" t="str">
        <f>DM6</f>
        <v>Count of هل تم التسليم قبل او في الموعد ؟</v>
      </c>
      <c r="DN11" t="str">
        <f t="shared" ref="DN11:DP11" si="4">DN6</f>
        <v>Failed Deliveries Count</v>
      </c>
      <c r="DO11" t="str">
        <f t="shared" si="4"/>
        <v>Returned Revenue</v>
      </c>
      <c r="DP11" t="str">
        <f t="shared" si="4"/>
        <v>Paid Unpaid Delivery Revenue</v>
      </c>
      <c r="DV11" s="7" t="s">
        <v>209</v>
      </c>
      <c r="DW11" s="8">
        <v>25798</v>
      </c>
      <c r="DZ11" t="str">
        <f t="shared" si="2"/>
        <v>بنفسجى</v>
      </c>
      <c r="EA11" s="9">
        <f t="shared" si="3"/>
        <v>25244</v>
      </c>
      <c r="ED11" s="7" t="s">
        <v>19</v>
      </c>
      <c r="EE11" s="8">
        <v>57505</v>
      </c>
    </row>
    <row r="12" spans="6:135" x14ac:dyDescent="0.3">
      <c r="Y12" s="15" t="s">
        <v>43</v>
      </c>
      <c r="Z12" s="16">
        <v>194340</v>
      </c>
      <c r="AH12" s="7" t="s">
        <v>320</v>
      </c>
      <c r="AI12" s="8">
        <v>32908.905440000002</v>
      </c>
      <c r="AL12" t="str">
        <f t="shared" si="0"/>
        <v>السويس</v>
      </c>
      <c r="AM12" s="9">
        <f t="shared" si="1"/>
        <v>32908.905440000002</v>
      </c>
      <c r="BA12" s="7" t="s">
        <v>268</v>
      </c>
      <c r="BB12" s="16">
        <v>71008</v>
      </c>
      <c r="BH12" s="7" t="s">
        <v>324</v>
      </c>
      <c r="BI12" s="8">
        <v>212738</v>
      </c>
      <c r="CL12" s="7" t="s">
        <v>87</v>
      </c>
      <c r="CM12" s="8">
        <v>9300</v>
      </c>
      <c r="CU12" s="8">
        <v>126</v>
      </c>
      <c r="CW12">
        <f>CU12</f>
        <v>126</v>
      </c>
      <c r="DM12">
        <f>DM7</f>
        <v>126</v>
      </c>
      <c r="DN12">
        <f t="shared" ref="DN12:DP12" si="5">DN7</f>
        <v>24</v>
      </c>
      <c r="DO12" s="9">
        <f t="shared" si="5"/>
        <v>263555.90999999997</v>
      </c>
      <c r="DP12" s="9">
        <f t="shared" si="5"/>
        <v>145178</v>
      </c>
      <c r="DV12" s="7" t="s">
        <v>27</v>
      </c>
      <c r="DW12" s="8">
        <v>29771</v>
      </c>
      <c r="DZ12" t="str">
        <f t="shared" si="2"/>
        <v>بينك</v>
      </c>
      <c r="EA12" s="9">
        <f t="shared" si="3"/>
        <v>25798</v>
      </c>
      <c r="ED12" s="7" t="s">
        <v>230</v>
      </c>
      <c r="EE12" s="8">
        <v>44972</v>
      </c>
    </row>
    <row r="13" spans="6:135" x14ac:dyDescent="0.3">
      <c r="Y13" s="15" t="s">
        <v>4</v>
      </c>
      <c r="Z13" s="16">
        <v>902176.90544</v>
      </c>
      <c r="AH13" s="7" t="s">
        <v>24</v>
      </c>
      <c r="AI13" s="8">
        <v>24288</v>
      </c>
      <c r="AL13" t="str">
        <f t="shared" si="0"/>
        <v>مطروح</v>
      </c>
      <c r="AM13" s="9">
        <f t="shared" si="1"/>
        <v>24288</v>
      </c>
      <c r="BH13" s="7" t="s">
        <v>326</v>
      </c>
      <c r="BI13" s="8">
        <v>323849</v>
      </c>
      <c r="DE13" t="str">
        <f>DE6</f>
        <v>Row Labels</v>
      </c>
      <c r="DF13" t="str">
        <f>DF6</f>
        <v>Count of هل تم التسليم قبل او في الموعد ؟</v>
      </c>
      <c r="DV13" s="7" t="s">
        <v>220</v>
      </c>
      <c r="DW13" s="8">
        <v>34099.910000000003</v>
      </c>
      <c r="DZ13" t="str">
        <f t="shared" ref="DZ13:DZ19" si="6">DV12</f>
        <v>ازرق</v>
      </c>
      <c r="EA13" s="9">
        <f t="shared" ref="EA13:EA19" si="7">DW12</f>
        <v>29771</v>
      </c>
      <c r="ED13" s="7" t="s">
        <v>322</v>
      </c>
      <c r="EE13" s="8">
        <v>39264</v>
      </c>
    </row>
    <row r="14" spans="6:135" x14ac:dyDescent="0.3">
      <c r="F14" t="str">
        <f>F7</f>
        <v>Total Sales</v>
      </c>
      <c r="G14" t="str">
        <f t="shared" ref="G14:Q14" si="8">G7</f>
        <v>Previous Month Sales</v>
      </c>
      <c r="H14" t="str">
        <f t="shared" si="8"/>
        <v>MoM Growth %</v>
      </c>
      <c r="I14" t="str">
        <f t="shared" si="8"/>
        <v>Total Customers</v>
      </c>
      <c r="J14" t="str">
        <f t="shared" si="8"/>
        <v>Previous Month Customers</v>
      </c>
      <c r="K14" t="str">
        <f t="shared" si="8"/>
        <v>Customers Growth %</v>
      </c>
      <c r="L14" t="str">
        <f t="shared" si="8"/>
        <v>Total Quantity</v>
      </c>
      <c r="M14" t="str">
        <f t="shared" si="8"/>
        <v>Previous Month Quantity</v>
      </c>
      <c r="N14" t="str">
        <f t="shared" si="8"/>
        <v>Quantity Growth %</v>
      </c>
      <c r="O14" t="str">
        <f t="shared" si="8"/>
        <v>Average Selling Price</v>
      </c>
      <c r="P14" t="str">
        <f t="shared" si="8"/>
        <v>Previous Month ASP</v>
      </c>
      <c r="Q14" t="str">
        <f t="shared" si="8"/>
        <v>ASP Growth %</v>
      </c>
      <c r="R14" t="str">
        <f t="shared" ref="R14:S14" si="9">R7</f>
        <v>Count Country</v>
      </c>
      <c r="S14" t="str">
        <f t="shared" si="9"/>
        <v>Sales platforms</v>
      </c>
      <c r="AH14" s="7" t="s">
        <v>238</v>
      </c>
      <c r="AI14" s="8">
        <v>20835</v>
      </c>
      <c r="AL14" t="str">
        <f t="shared" si="0"/>
        <v>الجيزه</v>
      </c>
      <c r="AM14" s="9">
        <f t="shared" si="1"/>
        <v>20835</v>
      </c>
      <c r="DE14" t="str">
        <f t="shared" ref="DE14:DF14" si="10">DE7</f>
        <v>لا</v>
      </c>
      <c r="DF14">
        <f t="shared" si="10"/>
        <v>68</v>
      </c>
      <c r="DV14" s="7" t="s">
        <v>7</v>
      </c>
      <c r="DW14" s="8">
        <v>57192</v>
      </c>
      <c r="DZ14" t="str">
        <f t="shared" si="6"/>
        <v>الوان</v>
      </c>
      <c r="EA14" s="9">
        <f t="shared" si="7"/>
        <v>34099.910000000003</v>
      </c>
      <c r="ED14" s="7" t="s">
        <v>262</v>
      </c>
      <c r="EE14" s="8">
        <v>30477</v>
      </c>
    </row>
    <row r="15" spans="6:135" x14ac:dyDescent="0.3">
      <c r="F15" s="9">
        <f>F8</f>
        <v>1292649.81544</v>
      </c>
      <c r="G15" s="9">
        <f t="shared" ref="G15:Q15" si="11">G8</f>
        <v>1221641.81544</v>
      </c>
      <c r="H15" s="11">
        <f t="shared" si="11"/>
        <v>5.8125056872275586E-2</v>
      </c>
      <c r="I15">
        <f t="shared" si="11"/>
        <v>126</v>
      </c>
      <c r="J15">
        <f t="shared" si="11"/>
        <v>119</v>
      </c>
      <c r="K15" s="11">
        <f t="shared" si="11"/>
        <v>5.8823529411764705E-2</v>
      </c>
      <c r="L15">
        <f t="shared" si="11"/>
        <v>154</v>
      </c>
      <c r="M15">
        <f t="shared" si="11"/>
        <v>147</v>
      </c>
      <c r="N15" s="11">
        <f t="shared" si="11"/>
        <v>4.7619047619047616E-2</v>
      </c>
      <c r="O15" s="9">
        <f t="shared" si="11"/>
        <v>10259.12551936508</v>
      </c>
      <c r="P15" s="9">
        <f t="shared" si="11"/>
        <v>10265.897608739497</v>
      </c>
      <c r="Q15" s="11">
        <f t="shared" si="11"/>
        <v>-6.596685095175721E-4</v>
      </c>
      <c r="R15" s="13">
        <f t="shared" ref="R15:S15" si="12">R8</f>
        <v>9</v>
      </c>
      <c r="S15" s="13">
        <f t="shared" si="12"/>
        <v>7</v>
      </c>
      <c r="AH15" s="7" t="s">
        <v>319</v>
      </c>
      <c r="AI15" s="8">
        <v>12999</v>
      </c>
      <c r="AL15" t="str">
        <f t="shared" si="0"/>
        <v>اسيوط</v>
      </c>
      <c r="AM15" s="9">
        <f t="shared" si="1"/>
        <v>12999</v>
      </c>
      <c r="AT15" t="str">
        <f t="shared" ref="AT15:AU15" si="13">AT6</f>
        <v>Total Sales</v>
      </c>
      <c r="AU15" t="str">
        <f t="shared" si="13"/>
        <v>Count of نوع العميل</v>
      </c>
      <c r="CU15" t="str">
        <f>CU6</f>
        <v>Row Labels</v>
      </c>
      <c r="CV15" t="str">
        <f>CV6</f>
        <v>Count of نوع العميل</v>
      </c>
      <c r="DE15" t="str">
        <f t="shared" ref="DE15:DF15" si="14">DE8</f>
        <v>نعم</v>
      </c>
      <c r="DF15">
        <f t="shared" si="14"/>
        <v>58</v>
      </c>
      <c r="DV15" s="7" t="s">
        <v>41</v>
      </c>
      <c r="DW15" s="8">
        <v>68491</v>
      </c>
      <c r="DZ15" t="str">
        <f t="shared" si="6"/>
        <v>غير معروف</v>
      </c>
      <c r="EA15" s="9">
        <f t="shared" si="7"/>
        <v>57192</v>
      </c>
      <c r="ED15" s="7" t="s">
        <v>8</v>
      </c>
      <c r="EE15" s="8">
        <v>16160</v>
      </c>
    </row>
    <row r="16" spans="6:135" x14ac:dyDescent="0.3">
      <c r="AS16" t="str">
        <f t="shared" ref="AS16:AU16" si="15">AS7</f>
        <v>أفراد</v>
      </c>
      <c r="AT16" s="9">
        <f t="shared" si="15"/>
        <v>969482.90544</v>
      </c>
      <c r="AU16">
        <f t="shared" si="15"/>
        <v>91</v>
      </c>
      <c r="CU16" t="str">
        <f t="shared" ref="CU16:CV16" si="16">CU7</f>
        <v>أفراد</v>
      </c>
      <c r="CV16">
        <f t="shared" si="16"/>
        <v>91</v>
      </c>
      <c r="DV16" s="7" t="s">
        <v>314</v>
      </c>
      <c r="DW16" s="8">
        <v>150659</v>
      </c>
      <c r="DZ16" t="str">
        <f t="shared" si="6"/>
        <v>رمادى</v>
      </c>
      <c r="EA16" s="9">
        <f t="shared" si="7"/>
        <v>68491</v>
      </c>
      <c r="ED16" s="7" t="s">
        <v>198</v>
      </c>
      <c r="EE16" s="8">
        <v>13629</v>
      </c>
    </row>
    <row r="17" spans="25:135" x14ac:dyDescent="0.3">
      <c r="AS17" t="str">
        <f t="shared" ref="AS17:AU17" si="17">AS8</f>
        <v>شركات</v>
      </c>
      <c r="AT17" s="9">
        <f t="shared" si="17"/>
        <v>323166.90999999997</v>
      </c>
      <c r="AU17">
        <f t="shared" si="17"/>
        <v>35</v>
      </c>
      <c r="BA17" t="str">
        <f>BA6</f>
        <v>Row Labels</v>
      </c>
      <c r="BB17" t="str">
        <f>BB6</f>
        <v>Total Sales</v>
      </c>
      <c r="BW17" t="str">
        <f>BW6</f>
        <v>Row Labels</v>
      </c>
      <c r="BX17" t="str">
        <f>BX6</f>
        <v>Total Sales</v>
      </c>
      <c r="CL17" t="str">
        <f>CL6</f>
        <v>Row Labels</v>
      </c>
      <c r="CM17" t="str">
        <f>CM6</f>
        <v>Total Sales</v>
      </c>
      <c r="CU17" t="str">
        <f t="shared" ref="CU17:CV17" si="18">CU8</f>
        <v>شركات</v>
      </c>
      <c r="CV17">
        <f t="shared" si="18"/>
        <v>35</v>
      </c>
      <c r="DV17" s="7" t="s">
        <v>8</v>
      </c>
      <c r="DW17" s="8">
        <v>350498</v>
      </c>
      <c r="DZ17" t="str">
        <f t="shared" si="6"/>
        <v>(blank)</v>
      </c>
      <c r="EA17" s="9">
        <f t="shared" si="7"/>
        <v>150659</v>
      </c>
      <c r="ED17" s="7" t="s">
        <v>257</v>
      </c>
      <c r="EE17" s="8">
        <v>10249</v>
      </c>
    </row>
    <row r="18" spans="25:135" x14ac:dyDescent="0.3">
      <c r="Y18" t="str">
        <f>Y6</f>
        <v>Row Labels</v>
      </c>
      <c r="Z18" t="str">
        <f>Z6</f>
        <v>Total Sales</v>
      </c>
      <c r="AA18" t="s">
        <v>323</v>
      </c>
      <c r="BA18" t="str">
        <f t="shared" ref="BA18:BB18" si="19">BA7</f>
        <v>Jul</v>
      </c>
      <c r="BB18" s="9">
        <f t="shared" si="19"/>
        <v>31775</v>
      </c>
      <c r="BW18" t="str">
        <f t="shared" ref="BW18:BX18" si="20">BW7</f>
        <v>مسبق الدفع</v>
      </c>
      <c r="BX18" s="9">
        <f t="shared" si="20"/>
        <v>733372</v>
      </c>
      <c r="CL18" t="str">
        <f t="shared" ref="CL18:CM18" si="21">CL7</f>
        <v>سرير</v>
      </c>
      <c r="CM18" s="9">
        <f t="shared" si="21"/>
        <v>843545.81544000003</v>
      </c>
      <c r="DV18" s="7" t="s">
        <v>19</v>
      </c>
      <c r="DW18" s="8">
        <v>521689</v>
      </c>
      <c r="DZ18" t="str">
        <f t="shared" si="6"/>
        <v>ابيض</v>
      </c>
      <c r="EA18" s="9">
        <f t="shared" si="7"/>
        <v>350498</v>
      </c>
      <c r="ED18" s="7" t="s">
        <v>199</v>
      </c>
      <c r="EE18" s="8">
        <v>10000</v>
      </c>
    </row>
    <row r="19" spans="25:135" x14ac:dyDescent="0.3">
      <c r="Y19" t="str">
        <f t="shared" ref="Y19:Z19" si="22">Y7</f>
        <v>كيمت</v>
      </c>
      <c r="Z19" s="9">
        <f t="shared" si="22"/>
        <v>7396</v>
      </c>
      <c r="AA19" s="10">
        <f>Z19/SUM($Z$19:$Z$25)</f>
        <v>5.7215805175220673E-3</v>
      </c>
      <c r="BA19" t="str">
        <f t="shared" ref="BA19:BB19" si="23">BA8</f>
        <v>Aug</v>
      </c>
      <c r="BB19" s="9">
        <f t="shared" si="23"/>
        <v>105253</v>
      </c>
      <c r="BH19" t="str">
        <f>BH6</f>
        <v>Row Labels</v>
      </c>
      <c r="BI19" t="str">
        <f>BI6</f>
        <v>Total Sales</v>
      </c>
      <c r="BL19" t="str">
        <f>BL6</f>
        <v>Row Labels</v>
      </c>
      <c r="BM19" t="str">
        <f>BM6</f>
        <v>Total Sales</v>
      </c>
      <c r="BW19" t="str">
        <f t="shared" ref="BW19:BX19" si="24">BW8</f>
        <v>كاش</v>
      </c>
      <c r="BX19" s="9">
        <f t="shared" si="24"/>
        <v>447217</v>
      </c>
      <c r="CL19" t="str">
        <f t="shared" ref="CL19:CM19" si="25">CL8</f>
        <v>كنبه</v>
      </c>
      <c r="CM19" s="9">
        <f t="shared" si="25"/>
        <v>257234</v>
      </c>
      <c r="DZ19" t="str">
        <f t="shared" si="6"/>
        <v>اسود</v>
      </c>
      <c r="EA19" s="9">
        <f t="shared" si="7"/>
        <v>521689</v>
      </c>
      <c r="ED19" s="7" t="s">
        <v>275</v>
      </c>
      <c r="EE19" s="8">
        <v>8700</v>
      </c>
    </row>
    <row r="20" spans="25:135" x14ac:dyDescent="0.3">
      <c r="Y20" t="str">
        <f t="shared" ref="Y20:Z20" si="26">Y8</f>
        <v>منزلى</v>
      </c>
      <c r="Z20" s="9">
        <f t="shared" si="26"/>
        <v>9655</v>
      </c>
      <c r="AA20" s="10">
        <f t="shared" ref="AA20:AA25" si="27">Z20/SUM($Z$19:$Z$25)</f>
        <v>7.4691535825683556E-3</v>
      </c>
      <c r="BA20" t="str">
        <f t="shared" ref="BA20:BB20" si="28">BA9</f>
        <v>Sep</v>
      </c>
      <c r="BB20" s="9">
        <f t="shared" si="28"/>
        <v>670451</v>
      </c>
      <c r="BH20" t="str">
        <f t="shared" ref="BH20:BI20" si="29">BH7</f>
        <v>Sun</v>
      </c>
      <c r="BI20" s="9">
        <f t="shared" si="29"/>
        <v>178607</v>
      </c>
      <c r="BL20" t="str">
        <f t="shared" ref="BL20:BM20" si="30">BL7</f>
        <v>Weekday</v>
      </c>
      <c r="BM20" s="9">
        <f t="shared" si="30"/>
        <v>756062.81544000003</v>
      </c>
      <c r="BW20" t="str">
        <f t="shared" ref="BW20:BX20" si="31">BW9</f>
        <v>حساب شركه</v>
      </c>
      <c r="BX20" s="9">
        <f t="shared" si="31"/>
        <v>112060.81544000001</v>
      </c>
      <c r="CL20" t="str">
        <f t="shared" ref="CL20:CM20" si="32">CL9</f>
        <v>ترابيزه</v>
      </c>
      <c r="CM20" s="9">
        <f t="shared" si="32"/>
        <v>142164</v>
      </c>
      <c r="DM20" s="6" t="s">
        <v>301</v>
      </c>
      <c r="DN20" t="s">
        <v>337</v>
      </c>
      <c r="DO20" t="s">
        <v>338</v>
      </c>
      <c r="ED20" s="7" t="s">
        <v>218</v>
      </c>
      <c r="EE20" s="8">
        <v>5135</v>
      </c>
    </row>
    <row r="21" spans="25:135" x14ac:dyDescent="0.3">
      <c r="Y21" t="str">
        <f t="shared" ref="Y21:Z21" si="33">Y9</f>
        <v>فيس بوك</v>
      </c>
      <c r="Z21" s="9">
        <f t="shared" si="33"/>
        <v>27450</v>
      </c>
      <c r="AA21" s="10">
        <f t="shared" si="27"/>
        <v>2.1235449595183985E-2</v>
      </c>
      <c r="BA21" t="str">
        <f t="shared" ref="BA21:BB21" si="34">BA10</f>
        <v>Oct</v>
      </c>
      <c r="BB21" s="9">
        <f t="shared" si="34"/>
        <v>229191.81544000001</v>
      </c>
      <c r="BH21" t="str">
        <f t="shared" ref="BH21:BI21" si="35">BH8</f>
        <v>Mon</v>
      </c>
      <c r="BI21" s="9">
        <f t="shared" si="35"/>
        <v>137872</v>
      </c>
      <c r="BL21" t="str">
        <f t="shared" ref="BL21:BM21" si="36">BL8</f>
        <v>Weekend</v>
      </c>
      <c r="BM21" s="9">
        <f t="shared" si="36"/>
        <v>536587</v>
      </c>
      <c r="BX21" s="9"/>
      <c r="CL21" t="str">
        <f t="shared" ref="CL21:CM21" si="37">CL10</f>
        <v>ركنه</v>
      </c>
      <c r="CM21" s="9">
        <f t="shared" si="37"/>
        <v>30642</v>
      </c>
      <c r="DM21" s="7" t="s">
        <v>14</v>
      </c>
      <c r="DN21" s="8">
        <v>102</v>
      </c>
      <c r="DO21" s="10">
        <f>DN21/SUM($DN$21:$DN$23)</f>
        <v>0.80952380952380953</v>
      </c>
    </row>
    <row r="22" spans="25:135" x14ac:dyDescent="0.3">
      <c r="Y22" t="str">
        <f t="shared" ref="Y22:Z22" si="38">Y10</f>
        <v>اوسكار رتان</v>
      </c>
      <c r="Z22" s="9">
        <f t="shared" si="38"/>
        <v>68731.91</v>
      </c>
      <c r="AA22" s="10">
        <f t="shared" si="27"/>
        <v>5.3171330068696614E-2</v>
      </c>
      <c r="BA22" t="str">
        <f>BA11</f>
        <v>Nov</v>
      </c>
      <c r="BB22" s="9">
        <f>BB11</f>
        <v>184971</v>
      </c>
      <c r="BH22" t="str">
        <f t="shared" ref="BH22:BI22" si="39">BH9</f>
        <v>Tue</v>
      </c>
      <c r="BI22" s="9">
        <f t="shared" si="39"/>
        <v>125928.81544000001</v>
      </c>
      <c r="CL22" t="str">
        <f t="shared" ref="CL22:CM22" si="40">CL11</f>
        <v>شيزلونج</v>
      </c>
      <c r="CM22" s="9">
        <f t="shared" si="40"/>
        <v>9764</v>
      </c>
      <c r="DM22" s="7" t="s">
        <v>31</v>
      </c>
      <c r="DN22" s="8">
        <v>7</v>
      </c>
      <c r="DO22" s="10">
        <f t="shared" ref="DO22:DO23" si="41">DN22/SUM($DN$21:$DN$23)</f>
        <v>5.5555555555555552E-2</v>
      </c>
    </row>
    <row r="23" spans="25:135" x14ac:dyDescent="0.3">
      <c r="Y23" t="str">
        <f t="shared" ref="Y23:Z23" si="42">Y11</f>
        <v>تاكى</v>
      </c>
      <c r="Z23" s="9">
        <f t="shared" si="42"/>
        <v>82900</v>
      </c>
      <c r="AA23" s="10">
        <f t="shared" si="27"/>
        <v>6.4131831382176763E-2</v>
      </c>
      <c r="BA23" t="str">
        <f>BA12</f>
        <v>Dec</v>
      </c>
      <c r="BB23" s="9">
        <f>BB12</f>
        <v>71008</v>
      </c>
      <c r="BH23" t="str">
        <f t="shared" ref="BH23:BI23" si="43">BH10</f>
        <v>Wed</v>
      </c>
      <c r="BI23" s="9">
        <f t="shared" si="43"/>
        <v>95783</v>
      </c>
      <c r="CL23" t="str">
        <f>CL12</f>
        <v>كرسى</v>
      </c>
      <c r="CM23" s="9">
        <f>CM12</f>
        <v>9300</v>
      </c>
      <c r="DM23" s="7" t="s">
        <v>60</v>
      </c>
      <c r="DN23" s="8">
        <v>17</v>
      </c>
      <c r="DO23" s="10">
        <f t="shared" si="41"/>
        <v>0.13492063492063491</v>
      </c>
    </row>
    <row r="24" spans="25:135" x14ac:dyDescent="0.3">
      <c r="Y24" t="str">
        <f t="shared" ref="Y24:Z24" si="44">Y12</f>
        <v>شيك هومز</v>
      </c>
      <c r="Z24" s="9">
        <f t="shared" si="44"/>
        <v>194340</v>
      </c>
      <c r="AA24" s="10">
        <f t="shared" si="27"/>
        <v>0.15034234150557579</v>
      </c>
      <c r="BH24" t="str">
        <f t="shared" ref="BH24:BI24" si="45">BH11</f>
        <v>Thu</v>
      </c>
      <c r="BI24" s="9">
        <f t="shared" si="45"/>
        <v>217872</v>
      </c>
    </row>
    <row r="25" spans="25:135" x14ac:dyDescent="0.3">
      <c r="Y25" t="str">
        <f t="shared" ref="Y25:Z25" si="46">Y13</f>
        <v>هومزمارت</v>
      </c>
      <c r="Z25" s="9">
        <f t="shared" si="46"/>
        <v>902176.90544</v>
      </c>
      <c r="AA25" s="10">
        <f t="shared" si="27"/>
        <v>0.69792831334827643</v>
      </c>
      <c r="BH25" t="str">
        <f t="shared" ref="BH25:BI25" si="47">BH12</f>
        <v>Fri</v>
      </c>
      <c r="BI25" s="9">
        <f t="shared" si="47"/>
        <v>212738</v>
      </c>
    </row>
    <row r="26" spans="25:135" x14ac:dyDescent="0.3">
      <c r="BH26" t="str">
        <f>BH13</f>
        <v>Sat</v>
      </c>
      <c r="BI26" s="9">
        <f>BI13</f>
        <v>323849</v>
      </c>
    </row>
  </sheetData>
  <pageMargins left="0.7" right="0.7" top="0.75" bottom="0.75" header="0.3" footer="0.3"/>
  <pageSetup paperSize="9"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9766-8334-4A0B-9117-B51DE9447045}">
  <dimension ref="A1"/>
  <sheetViews>
    <sheetView showGridLines="0" showRowColHeaders="0" workbookViewId="0">
      <selection activeCell="X32" sqref="X32"/>
    </sheetView>
  </sheetViews>
  <sheetFormatPr defaultRowHeight="14.4" x14ac:dyDescent="0.3"/>
  <cols>
    <col min="1" max="16384" width="8.88671875" style="1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AAE6-02F1-46C5-86F2-E5C51C616593}">
  <dimension ref="A1"/>
  <sheetViews>
    <sheetView showGridLines="0" showRowColHeaders="0" tabSelected="1" workbookViewId="0">
      <selection activeCell="X5" sqref="X5"/>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��#3E 'D9EJDFH9 'D9EJD'D9FH'F'DE-'A8)EF5) 'D(J9'D5FA'DFH9'D'3E'DEB'3'DDHF 'DE9/FDHF 'DBE'4'DCEJG'DEF*,391 'D(J971JBG 'D/A9EJ9'/ 'D*3DJE*'1J. 'D*3DJEEJ9'/ 'D7D('D4G1E/G 'D*3DJE('DA9DJGD *E 'D*3DJE B(D 'H AJ 'DEH9/ 'DE3&HD 9F 'D*3DJE'D-'D)'*3DEE/G 'D*3DJE (''DG/A#3E 'D9EJDFH9 'D9EJD'D9FH'F'DE-'A8)EF5) 'D(J9'D5FA'DFH9'D'3E'DEB'3'DDHF 'DE9/FDHF 'DBE'4'DCEJG'DEF*,391 'D(J971JBG 'D/A9EJ9'/ 'D*3DJE*'1J. 'D*3DJEEJ9'/ 'D7D('D4G1E/G 'D*3DJE('DA9DJGD *E 'D*3DJE B(D 'H AJ 'DEH9/ 'DE3&HD 9F 'D*3DJE'D-'D)'*3DEE/G 'D*3DJE (''DG/A
</file>

<file path=customXml/item21.xml>��
</file>

<file path=customXml/item22.xml>��
</file>

<file path=customXml/item23.xml>��EJ9'/ 'D7D(#3E 'D9EJDFH9 'D9EJD'D9FH'F'DE-'A8)EF5) 'D(J9'D5FA'DFH9'D'3E'DEB'3'DDHF 'DE9/FDHF 'DBE'4'DCEJG'DEF*,391 'D(J971JBG 'D/A9EJ9'/ 'D*3DJE*'1J. 'D*3DJEEJ9'/ 'D7D('D4G1E/G 'D*3DJE('DA9DJGD *E 'D*3DJE B(D 'H AJ 'DEH9/ 'DE3&HD 9F 'D*3DJE'D-'D)'*3DEE/G 'D*3DJE (''DG/A
</file>

<file path=customXml/item24.xml>��
</file>

<file path=customXml/item25.xml>��
</file>

<file path=customXml/item26.xml>��
</file>

<file path=customXml/item27.xml>��
</file>

<file path=customXml/item28.xml>��
</file>

<file path=customXml/item29.xml>��
</file>

<file path=customXml/item30.xml>��
</file>

<file path=customXml/item31.xml>��FH9 'D9EJDFH9 'D9EJDFH9 'D9EJD'DEB'3'DEB'3'DEB'3'DCEJG'DCEJG'DCEJGGD *E 'D*3DJE B(D 'H AJ 'DEH9/ GD *E 'D*3DJE B(D 'H AJ 'DEH9/ GD *E 'D*3DJE B(D 'H AJ 'DEH9/ E/G 'D*3DJE('DA9DJE/G 'D*3DJE('DA9DJE/G 'D*3DJE('DA9DJ'D-'D)'D-'D)'D-'D)E/G 'D*3DJE (''DG/AE/G 'D*3DJE (''DG/AE/G 'D*3DJE (''DG/A#3E 'D9EJDFH9 'D9EJD'D9FH'F'DE-'A8)EF5) 'D(J9'D5FA'DFH9'D'3E'DEB'3'DDHF 'DE9/FDHF 'DBE'4'DCEJG'DEF*,391 'D(J971JBG 'D/A9EJ9'/ 'D*3DJE*'1J. 'D*3DJEEJ9'/ 'D7D('D4G1E/G 'D*3DJE('DA9DJGD *E 'D*3DJE B(D 'H AJ 'DEH9/ 'DE3&HD 9F 'D*3DJE'D-'D)'*3DEE/G 'D*3DJE (''DG/AFH9 'D9EJDFH9 'D9EJDFH9 'D9EJDFH9 'D9EJDFH9 'D9EJDFH9 'D9EJD'DEB'3'DEB'3'DEB'3'DEB'3'DEB'3'DEB'3'DCEJG'DCEJG'DCEJG'DCEJG'DCEJG'DCEJGGD *E 'D*3DJE B(D 'H AJ 'DEH9/ GD *E 'D*3DJE B(D 'H AJ 'DEH9/ GD *E 'D*3DJE B(D 'H AJ 'DEH9/ GD *E 'D*3DJE B(D 'H AJ 'DEH9/ GD *E 'D*3DJE B(D 'H AJ 'DEH9/ GD *E 'D*3DJE B(D 'H AJ 'DEH9/ E/G 'D*3DJE('DA9DJE/G 'D*3DJE('DA9DJE/G 'D*3DJE('DA9DJE/G 'D*3DJE('DA9DJE/G 'D*3DJE('DA9DJE/G 'D*3DJE('DA9DJ'D-'D)'D-'D)'D-'D)'D-'D)'D-'D)'D-'D)E/G 'D*3DJE (''DG/AE/G 'D*3DJE (''DG/AE/G 'D*3DJE (''DG/AE/G 'D*3DJE (''DG/AE/G 'D*3DJE (''DG/AE/G 'D*3DJE (''DG/AFH9 'D9EJDFH9 'D9EJDFH9 'D9EJD'DEB'3'DEB'3'DEB'3'DCEJG'DCEJG'DCEJGGD *E 'D*3DJE B(D 'H AJ 'DEH9/ GD *E 'D*3DJE B(D 'H AJ 'DEH9/ GD *E 'D*3DJE B(D 'H AJ 'DEH9/ E/G 'D*3DJE('DA9DJE/G 'D*3DJE('DA9DJE/G 'D*3DJE('DA9DJ'D-'D)'D-'D)'D-'D)E/G 'D*3DJE (''DG/AE/G 'D*3DJE (''DG/AE/G 'D*3DJE (''DG/A#3E 'D9EJDFH9 'D9EJD'D9FH'F'DE-'A8)EF5) 'D(J9'D5FA'DFH9'D'3E'DEB'3'DDHF 'DE9/FDHF 'DBE'4'DCEJG'DEF*,391 'D(J971JBG 'D/A9EJ9'/ 'D*3DJE*'1J. 'D*3DJEEJ9'/ 'D7D('D4G1E/G 'D*3DJE('DA9DJGD *E 'D*3DJE B(D 'H AJ 'DEH9/ 'DE3&HD 9F 'D*3DJE'D-'D)'*3DEE/G 'D*3DJE (''DG/AFH9 'D9EJDFH9 'D9EJDFH9 'D9EJDFH9 'D9EJDFH9 'D9EJDFH9 'D9EJD'DEB'3'DEB'3'DEB'3'DEB'3'DEB'3'DEB'3'DCEJG'DCEJG'DCEJG'DCEJG'DCEJG'DCEJGGD *E 'D*3DJE B(D 'H AJ 'DEH9/ GD *E 'D*3DJE B(D 'H AJ 'DEH9/ GD *E 'D*3DJE B(D 'H AJ 'DEH9/ GD *E 'D*3DJE B(D 'H AJ 'DEH9/ GD *E 'D*3DJE B(D 'H AJ 'DEH9/ GD *E 'D*3DJE B(D 'H AJ 'DEH9/ E/G 'D*3DJE('DA9DJE/G 'D*3DJE('DA9DJE/G 'D*3DJE('DA9DJE/G 'D*3DJE('DA9DJE/G 'D*3DJE('DA9DJE/G 'D*3DJE('DA9DJ'D-'D)'D-'D)'D-'D)'D-'D)'D-'D)'D-'D)E/G 'D*3DJE (''DG/AE/G 'D*3DJE (''DG/AE/G 'D*3DJE (''DG/AE/G 'D*3DJE (''DG/AE/G 'D*3DJE (''DG/AE/G 'D*3DJE (''DG/A#3E 'D9EJDFH9 'D9EJD'D9FH'F'DE-'A8)EF5) 'D(J9'D5FA'DFH9'D'3E'DEB'3'DDHF 'DE9/FDHF 'DBE'4'DCEJG'DEF*,391 'D(J971JBG 'D/A9EJ9'/ 'D*3DJE*'1J. 'D*3DJEEJ9'/ 'D7D('D4G1E/G 'D*3DJE('DA9DJGD *E 'D*3DJE B(D 'H AJ 'DEH9/ 'DE3&HD 9F 'D*3DJE'D-'D)'*3DEE/G 'D*3DJE (''DG/AFH9 'D9EJDFH9 'D9EJD'DEB'3'DEB'3'DCEJG'DCEJGGD *E 'D*3DJE B(D 'H AJ 'DEH9/ GD *E 'D*3DJE B(D 'H AJ 'DEH9/ E/G 'D*3DJE('DA9DJE/G 'D*3DJE('DA9DJ'D-'D)'D-'D)E/G 'D*3DJE (''DG/AE/G 'D*3DJE (''DG/AEJ9'/ 'D7D(EJ9'/ 'D7D(EJ9'/ 'D7D(EJ9'/ 'D7D(EJ9'/ 'D7D(#3E 'D9EJDFH9 'D9EJD'D9FH'F'DE-'A8)EF5) 'D(J9'D5FA'DFH9'D'3E'DEB'3'DDHF 'DE9/FDHF 'DBE'4'DCEJG'DEF*,391 'D(J971JBG 'D/A9EJ9'/ 'D*3DJE*'1J. 'D*3DJEEJ9'/ 'D7D('D4G1E/G 'D*3DJE('DA9DJGD *E 'D*3DJE B(D 'H AJ 'DEH9/ 'DE3&HD 9F 'D*3DJE'D-'D)'*3DEE/G 'D*3DJE (''DG/AFH9 'D9EJDFH9 'D9EJD'DEB'3'DEB'3'DCEJG'DCEJGGD *E 'D*3DJE B(D 'H AJ 'DEH9/ GD *E 'D*3DJE B(D 'H AJ 'DEH9/ E/G 'D*3DJE('DA9DJE/G 'D*3DJE('DA9DJ'D-'D)'D-'D)E/G 'D*3DJE (''DG/AE/G 'D*3DJE (''DG/AEJ9'/ 'D7D(EJ9'/ 'D7D(EJ9'/ 'D7D(EJ9'/ 'D7D(
</file>

<file path=customXml/item32.xml>��
</file>

<file path=customXml/item33.xml>��
</file>

<file path=customXml/item34.xml>��
</file>

<file path=customXml/itemProps1.xml><?xml version="1.0" encoding="utf-8"?>
<ds:datastoreItem xmlns:ds="http://schemas.openxmlformats.org/officeDocument/2006/customXml" ds:itemID="{FA8D7135-CBF8-4573-BA2A-8669AA9ED71B}">
  <ds:schemaRefs/>
</ds:datastoreItem>
</file>

<file path=customXml/itemProps2.xml><?xml version="1.0" encoding="utf-8"?>
<ds:datastoreItem xmlns:ds="http://schemas.openxmlformats.org/officeDocument/2006/customXml" ds:itemID="{10F2E833-B40B-481B-B469-277AC4991F68}">
  <ds:schemaRefs/>
</ds:datastoreItem>
</file>

<file path=customXml/itemProps3.xml><?xml version="1.0" encoding="utf-8"?>
<ds:datastoreItem xmlns:ds="http://schemas.openxmlformats.org/officeDocument/2006/customXml" ds:itemID="{87ACD97C-963E-4B01-969C-7FACFD865417}">
  <ds:schemaRefs/>
</ds:datastoreItem>
</file>

<file path=customXml/itemProps4.xml><?xml version="1.0" encoding="utf-8"?>
<ds:datastoreItem xmlns:ds="http://schemas.openxmlformats.org/officeDocument/2006/customXml" ds:itemID="{F0A70DC8-17F4-4194-9C0F-273DD51998CE}">
  <ds:schemaRefs/>
</ds:datastoreItem>
</file>

<file path=customXml/itemProps5.xml><?xml version="1.0" encoding="utf-8"?>
<ds:datastoreItem xmlns:ds="http://schemas.openxmlformats.org/officeDocument/2006/customXml" ds:itemID="{1ADD5493-D517-4974-87D3-82283F34D510}">
  <ds:schemaRefs/>
</ds:datastoreItem>
</file>

<file path=customXml/itemProps6.xml><?xml version="1.0" encoding="utf-8"?>
<ds:datastoreItem xmlns:ds="http://schemas.openxmlformats.org/officeDocument/2006/customXml" ds:itemID="{F89C4073-FC7C-4B42-BEE7-3291EF82CC96}">
  <ds:schemaRefs/>
</ds:datastoreItem>
</file>

<file path=customXml/itemProps7.xml><?xml version="1.0" encoding="utf-8"?>
<ds:datastoreItem xmlns:ds="http://schemas.openxmlformats.org/officeDocument/2006/customXml" ds:itemID="{96FC616D-105B-4CA5-A186-55A9155B0487}">
  <ds:schemaRefs/>
</ds:datastoreItem>
</file>

<file path=customXml/itemProps8.xml><?xml version="1.0" encoding="utf-8"?>
<ds:datastoreItem xmlns:ds="http://schemas.openxmlformats.org/officeDocument/2006/customXml" ds:itemID="{0A06F955-8044-4C81-81EA-D088CC9266CE}">
  <ds:schemaRefs/>
</ds:datastoreItem>
</file>

<file path=customXml/itemProps9.xml><?xml version="1.0" encoding="utf-8"?>
<ds:datastoreItem xmlns:ds="http://schemas.openxmlformats.org/officeDocument/2006/customXml" ds:itemID="{634D6C32-147D-42B7-9ABF-6120A0C64F94}">
  <ds:schemaRefs/>
</ds:datastoreItem>
</file>

<file path=customXml/itemProps10.xml><?xml version="1.0" encoding="utf-8"?>
<ds:datastoreItem xmlns:ds="http://schemas.openxmlformats.org/officeDocument/2006/customXml" ds:itemID="{6C814634-2E21-4130-AFE5-C4E21C0EF22E}">
  <ds:schemaRefs/>
</ds:datastoreItem>
</file>

<file path=customXml/itemProps11.xml><?xml version="1.0" encoding="utf-8"?>
<ds:datastoreItem xmlns:ds="http://schemas.openxmlformats.org/officeDocument/2006/customXml" ds:itemID="{A8339EDE-D873-4647-85C4-DEC344A00505}">
  <ds:schemaRefs/>
</ds:datastoreItem>
</file>

<file path=customXml/itemProps12.xml><?xml version="1.0" encoding="utf-8"?>
<ds:datastoreItem xmlns:ds="http://schemas.openxmlformats.org/officeDocument/2006/customXml" ds:itemID="{B5EAFE68-AC08-4562-8374-A92C307DF9F0}">
  <ds:schemaRefs/>
</ds:datastoreItem>
</file>

<file path=customXml/itemProps13.xml><?xml version="1.0" encoding="utf-8"?>
<ds:datastoreItem xmlns:ds="http://schemas.openxmlformats.org/officeDocument/2006/customXml" ds:itemID="{60AD9902-9CC6-4D24-9932-7FDC6E4F09D1}">
  <ds:schemaRefs/>
</ds:datastoreItem>
</file>

<file path=customXml/itemProps14.xml><?xml version="1.0" encoding="utf-8"?>
<ds:datastoreItem xmlns:ds="http://schemas.openxmlformats.org/officeDocument/2006/customXml" ds:itemID="{934638F6-FD0B-439E-BF57-5DDA444F61F8}">
  <ds:schemaRefs>
    <ds:schemaRef ds:uri="http://schemas.microsoft.com/DataMashup"/>
  </ds:schemaRefs>
</ds:datastoreItem>
</file>

<file path=customXml/itemProps15.xml><?xml version="1.0" encoding="utf-8"?>
<ds:datastoreItem xmlns:ds="http://schemas.openxmlformats.org/officeDocument/2006/customXml" ds:itemID="{AC06D553-3517-414A-877F-F79C0DB669EB}">
  <ds:schemaRefs/>
</ds:datastoreItem>
</file>

<file path=customXml/itemProps16.xml><?xml version="1.0" encoding="utf-8"?>
<ds:datastoreItem xmlns:ds="http://schemas.openxmlformats.org/officeDocument/2006/customXml" ds:itemID="{08A0929C-5901-4EAC-9D5D-41EC0DFB04ED}">
  <ds:schemaRefs/>
</ds:datastoreItem>
</file>

<file path=customXml/itemProps17.xml><?xml version="1.0" encoding="utf-8"?>
<ds:datastoreItem xmlns:ds="http://schemas.openxmlformats.org/officeDocument/2006/customXml" ds:itemID="{1DA72AE7-C807-4BE1-97BC-4C74160A082C}">
  <ds:schemaRefs/>
</ds:datastoreItem>
</file>

<file path=customXml/itemProps18.xml><?xml version="1.0" encoding="utf-8"?>
<ds:datastoreItem xmlns:ds="http://schemas.openxmlformats.org/officeDocument/2006/customXml" ds:itemID="{09DCE5FF-FCB5-4082-8985-AF557AC414B4}">
  <ds:schemaRefs/>
</ds:datastoreItem>
</file>

<file path=customXml/itemProps19.xml><?xml version="1.0" encoding="utf-8"?>
<ds:datastoreItem xmlns:ds="http://schemas.openxmlformats.org/officeDocument/2006/customXml" ds:itemID="{911D6EA0-B18F-4B82-A388-8686890D4195}">
  <ds:schemaRefs/>
</ds:datastoreItem>
</file>

<file path=customXml/itemProps20.xml><?xml version="1.0" encoding="utf-8"?>
<ds:datastoreItem xmlns:ds="http://schemas.openxmlformats.org/officeDocument/2006/customXml" ds:itemID="{3E67A44D-568A-4AB1-8D98-2261AC25DF14}">
  <ds:schemaRefs/>
</ds:datastoreItem>
</file>

<file path=customXml/itemProps21.xml><?xml version="1.0" encoding="utf-8"?>
<ds:datastoreItem xmlns:ds="http://schemas.openxmlformats.org/officeDocument/2006/customXml" ds:itemID="{664A5E80-C819-4AA4-93F5-B3B4E2572435}">
  <ds:schemaRefs/>
</ds:datastoreItem>
</file>

<file path=customXml/itemProps22.xml><?xml version="1.0" encoding="utf-8"?>
<ds:datastoreItem xmlns:ds="http://schemas.openxmlformats.org/officeDocument/2006/customXml" ds:itemID="{32F9F704-7363-4392-BA99-F4553C4D60F3}">
  <ds:schemaRefs/>
</ds:datastoreItem>
</file>

<file path=customXml/itemProps23.xml><?xml version="1.0" encoding="utf-8"?>
<ds:datastoreItem xmlns:ds="http://schemas.openxmlformats.org/officeDocument/2006/customXml" ds:itemID="{AF231D99-3EE8-479B-9C1A-DE9F6D13ECEC}">
  <ds:schemaRefs/>
</ds:datastoreItem>
</file>

<file path=customXml/itemProps24.xml><?xml version="1.0" encoding="utf-8"?>
<ds:datastoreItem xmlns:ds="http://schemas.openxmlformats.org/officeDocument/2006/customXml" ds:itemID="{D95D5330-CBB5-4128-8BF1-F24EB74E0219}">
  <ds:schemaRefs/>
</ds:datastoreItem>
</file>

<file path=customXml/itemProps25.xml><?xml version="1.0" encoding="utf-8"?>
<ds:datastoreItem xmlns:ds="http://schemas.openxmlformats.org/officeDocument/2006/customXml" ds:itemID="{4945BF48-AFDC-4AA1-9939-ADF891C8DA64}">
  <ds:schemaRefs/>
</ds:datastoreItem>
</file>

<file path=customXml/itemProps26.xml><?xml version="1.0" encoding="utf-8"?>
<ds:datastoreItem xmlns:ds="http://schemas.openxmlformats.org/officeDocument/2006/customXml" ds:itemID="{A10A8F64-D586-4AEA-A6CD-6B8498644628}">
  <ds:schemaRefs/>
</ds:datastoreItem>
</file>

<file path=customXml/itemProps27.xml><?xml version="1.0" encoding="utf-8"?>
<ds:datastoreItem xmlns:ds="http://schemas.openxmlformats.org/officeDocument/2006/customXml" ds:itemID="{DA61FF37-307D-4694-9092-B9793B5B34A0}">
  <ds:schemaRefs/>
</ds:datastoreItem>
</file>

<file path=customXml/itemProps28.xml><?xml version="1.0" encoding="utf-8"?>
<ds:datastoreItem xmlns:ds="http://schemas.openxmlformats.org/officeDocument/2006/customXml" ds:itemID="{E71A949B-E9D3-4281-BC94-AA55B53581BC}">
  <ds:schemaRefs/>
</ds:datastoreItem>
</file>

<file path=customXml/itemProps29.xml><?xml version="1.0" encoding="utf-8"?>
<ds:datastoreItem xmlns:ds="http://schemas.openxmlformats.org/officeDocument/2006/customXml" ds:itemID="{6FC04FD5-0C96-478D-B444-4E1171E9BAE8}">
  <ds:schemaRefs/>
</ds:datastoreItem>
</file>

<file path=customXml/itemProps30.xml><?xml version="1.0" encoding="utf-8"?>
<ds:datastoreItem xmlns:ds="http://schemas.openxmlformats.org/officeDocument/2006/customXml" ds:itemID="{7020DD9E-B5B9-475B-B7CF-F1BDD462B0BB}">
  <ds:schemaRefs/>
</ds:datastoreItem>
</file>

<file path=customXml/itemProps31.xml><?xml version="1.0" encoding="utf-8"?>
<ds:datastoreItem xmlns:ds="http://schemas.openxmlformats.org/officeDocument/2006/customXml" ds:itemID="{FC0A0B75-E011-4946-8EF1-41C1E431C10A}">
  <ds:schemaRefs/>
</ds:datastoreItem>
</file>

<file path=customXml/itemProps32.xml><?xml version="1.0" encoding="utf-8"?>
<ds:datastoreItem xmlns:ds="http://schemas.openxmlformats.org/officeDocument/2006/customXml" ds:itemID="{92085483-53E0-44A7-A3F8-FBFF2A83E4B0}">
  <ds:schemaRefs/>
</ds:datastoreItem>
</file>

<file path=customXml/itemProps33.xml><?xml version="1.0" encoding="utf-8"?>
<ds:datastoreItem xmlns:ds="http://schemas.openxmlformats.org/officeDocument/2006/customXml" ds:itemID="{B11B4604-2C2C-4773-98B9-9C18EB3319B5}">
  <ds:schemaRefs/>
</ds:datastoreItem>
</file>

<file path=customXml/itemProps34.xml><?xml version="1.0" encoding="utf-8"?>
<ds:datastoreItem xmlns:ds="http://schemas.openxmlformats.org/officeDocument/2006/customXml" ds:itemID="{A29C1EA4-50F7-40A0-8AF8-FE39BD2747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Analysis</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2026-10-17T01:54:58Z</dcterms:modified>
</cp:coreProperties>
</file>